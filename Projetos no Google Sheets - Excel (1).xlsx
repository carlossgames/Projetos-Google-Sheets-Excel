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Atributos" sheetId="2" r:id="rId6"/>
    <sheet state="visible" name="PrecoHistorico" sheetId="3" r:id="rId7"/>
  </sheets>
  <definedNames/>
  <calcPr/>
</workbook>
</file>

<file path=xl/sharedStrings.xml><?xml version="1.0" encoding="utf-8"?>
<sst xmlns="http://schemas.openxmlformats.org/spreadsheetml/2006/main" count="49" uniqueCount="41">
  <si>
    <t>Lista de Ações</t>
  </si>
  <si>
    <t>Data Inicial</t>
  </si>
  <si>
    <t>Ref</t>
  </si>
  <si>
    <t>https://support.google.com/docs/answer/3093281?hl=pt-BR</t>
  </si>
  <si>
    <t>Código</t>
  </si>
  <si>
    <t>KO</t>
  </si>
  <si>
    <t>MSFT</t>
  </si>
  <si>
    <t>TSLA</t>
  </si>
  <si>
    <t>AAPL</t>
  </si>
  <si>
    <t>Data Final</t>
  </si>
  <si>
    <t>Atributos Ações</t>
  </si>
  <si>
    <t>name</t>
  </si>
  <si>
    <t>price</t>
  </si>
  <si>
    <t>priceopen</t>
  </si>
  <si>
    <t>high</t>
  </si>
  <si>
    <t>low</t>
  </si>
  <si>
    <t>volume</t>
  </si>
  <si>
    <t>marketcap</t>
  </si>
  <si>
    <t>tradetime</t>
  </si>
  <si>
    <t>datadelay</t>
  </si>
  <si>
    <t>volumeavg</t>
  </si>
  <si>
    <t>pe</t>
  </si>
  <si>
    <t>eps</t>
  </si>
  <si>
    <t>high52</t>
  </si>
  <si>
    <t>low52</t>
  </si>
  <si>
    <t>change</t>
  </si>
  <si>
    <t>beta</t>
  </si>
  <si>
    <t>changepct</t>
  </si>
  <si>
    <t>closeyest</t>
  </si>
  <si>
    <t>shares</t>
  </si>
  <si>
    <t>currency</t>
  </si>
  <si>
    <t>Valor Normal</t>
  </si>
  <si>
    <t>Valor normalizado</t>
  </si>
  <si>
    <t>Data</t>
  </si>
  <si>
    <t>Coca-Cola Co</t>
  </si>
  <si>
    <t>Microsoft Corp</t>
  </si>
  <si>
    <t>Tesla Inc</t>
  </si>
  <si>
    <t>Apple Inc</t>
  </si>
  <si>
    <t>Maximo</t>
  </si>
  <si>
    <t>Minimo</t>
  </si>
  <si>
    <t>Intervalo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</si>
</sst>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m/d/yyyy h:mm:ss"/>
    <numFmt numFmtId="167" formatCode="0.000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" fillId="0" fontId="2" numFmtId="0" xfId="0" applyBorder="1" applyFont="1"/>
    <xf borderId="1" fillId="2" fontId="3" numFmtId="165" xfId="0" applyBorder="1" applyFill="1" applyFont="1" applyNumberForma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3" fontId="2" numFmtId="0" xfId="0" applyAlignment="1" applyFill="1" applyFont="1">
      <alignment horizontal="center"/>
    </xf>
    <xf borderId="0" fillId="4" fontId="2" numFmtId="0" xfId="0" applyAlignment="1" applyFill="1" applyFont="1">
      <alignment horizontal="left"/>
    </xf>
    <xf borderId="0" fillId="0" fontId="3" numFmtId="164" xfId="0" applyFont="1" applyNumberFormat="1"/>
    <xf borderId="0" fillId="0" fontId="5" numFmtId="0" xfId="0" applyFont="1"/>
    <xf borderId="0" fillId="0" fontId="5" numFmtId="166" xfId="0" applyFont="1" applyNumberFormat="1"/>
    <xf borderId="0" fillId="0" fontId="1" numFmtId="0" xfId="0" applyAlignment="1" applyFont="1">
      <alignment horizontal="center"/>
    </xf>
    <xf borderId="0" fillId="4" fontId="2" numFmtId="166" xfId="0" applyAlignment="1" applyFont="1" applyNumberFormat="1">
      <alignment horizontal="left"/>
    </xf>
    <xf borderId="0" fillId="0" fontId="1" numFmtId="167" xfId="0" applyAlignment="1" applyFont="1" applyNumberFormat="1">
      <alignment horizontal="center"/>
    </xf>
    <xf borderId="0" fillId="0" fontId="2" numFmtId="0" xfId="0" applyFont="1"/>
    <xf borderId="0" fillId="0" fontId="2" numFmtId="164" xfId="0" applyFont="1" applyNumberFormat="1"/>
    <xf borderId="0" fillId="0" fontId="2" numFmtId="167" xfId="0" applyFont="1" applyNumberFormat="1"/>
    <xf borderId="0" fillId="0" fontId="3" numFmtId="0" xfId="0" applyFont="1"/>
    <xf borderId="0" fillId="4" fontId="2" numFmtId="167" xfId="0" applyAlignment="1" applyFont="1" applyNumberFormat="1">
      <alignment horizontal="left"/>
    </xf>
    <xf borderId="0" fillId="0" fontId="5" numFmtId="0" xfId="0" applyAlignment="1" applyFont="1">
      <alignment readingOrder="0"/>
    </xf>
    <xf borderId="0" fillId="0" fontId="3" numFmtId="167" xfId="0" applyFont="1" applyNumberFormat="1"/>
    <xf borderId="0" fillId="0" fontId="5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upport.google.com/docs/answer/3093281?hl=pt-BR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6" width="12.63"/>
  </cols>
  <sheetData>
    <row r="1" ht="15.75" customHeight="1">
      <c r="A1" s="1" t="s">
        <v>0</v>
      </c>
    </row>
    <row r="2" ht="15.75" customHeight="1">
      <c r="A2" s="2" t="str">
        <f>IFERROR(__xludf.DUMMYFUNCTION("GOOGLEFINANCE(B3,""name"")"),"Coca-Cola Co")</f>
        <v>Coca-Cola Co</v>
      </c>
      <c r="C2" s="2" t="str">
        <f>IFERROR(__xludf.DUMMYFUNCTION("GOOGLEFINANCE(D3,""name"")"),"Microsoft Corp")</f>
        <v>Microsoft Corp</v>
      </c>
      <c r="E2" s="2" t="str">
        <f>IFERROR(__xludf.DUMMYFUNCTION("GOOGLEFINANCE(F3,""name"")"),"Tesla Inc")</f>
        <v>Tesla Inc</v>
      </c>
      <c r="G2" s="3" t="str">
        <f>IFERROR(__xludf.DUMMYFUNCTION("GOOGLEFINANCE(H3,""name"")"),"Apple Inc")</f>
        <v>Apple Inc</v>
      </c>
      <c r="J2" s="4" t="s">
        <v>1</v>
      </c>
      <c r="K2" s="5">
        <v>43831.0</v>
      </c>
      <c r="M2" s="6" t="s">
        <v>2</v>
      </c>
      <c r="N2" s="7" t="s">
        <v>3</v>
      </c>
    </row>
    <row r="3" ht="15.75" customHeight="1">
      <c r="A3" s="2" t="s">
        <v>4</v>
      </c>
      <c r="B3" s="8" t="s">
        <v>5</v>
      </c>
      <c r="C3" s="2" t="s">
        <v>4</v>
      </c>
      <c r="D3" s="8" t="s">
        <v>6</v>
      </c>
      <c r="E3" s="2" t="s">
        <v>4</v>
      </c>
      <c r="F3" s="8" t="s">
        <v>7</v>
      </c>
      <c r="G3" s="3" t="s">
        <v>4</v>
      </c>
      <c r="H3" s="8" t="s">
        <v>8</v>
      </c>
      <c r="J3" s="4" t="s">
        <v>9</v>
      </c>
      <c r="K3" s="5">
        <v>44927.0</v>
      </c>
    </row>
    <row r="4" ht="15.75" customHeight="1">
      <c r="A4" s="9" t="str">
        <f>IFERROR(__xludf.DUMMYFUNCTION("GOOGLEFINANCE(B3,""price"",$K$2,$K$3)"),"Date")</f>
        <v>Date</v>
      </c>
      <c r="B4" s="3" t="str">
        <f>IFERROR(__xludf.DUMMYFUNCTION("""COMPUTED_VALUE"""),"Close")</f>
        <v>Close</v>
      </c>
      <c r="C4" s="3" t="str">
        <f>IFERROR(__xludf.DUMMYFUNCTION("GOOGLEFINANCE(D3,""price"",$K$2,$K$3)"),"Date")</f>
        <v>Date</v>
      </c>
      <c r="D4" s="3" t="str">
        <f>IFERROR(__xludf.DUMMYFUNCTION("""COMPUTED_VALUE"""),"Close")</f>
        <v>Close</v>
      </c>
      <c r="E4" s="3" t="str">
        <f>IFERROR(__xludf.DUMMYFUNCTION("GOOGLEFINANCE(F3,""price"",$K$2,$K$3)"),"Date")</f>
        <v>Date</v>
      </c>
      <c r="F4" s="3" t="str">
        <f>IFERROR(__xludf.DUMMYFUNCTION("""COMPUTED_VALUE"""),"Close")</f>
        <v>Close</v>
      </c>
      <c r="G4" s="3" t="str">
        <f>IFERROR(__xludf.DUMMYFUNCTION("GOOGLEFINANCE(H3,""price"",$K$2,$K$3)"),"Date")</f>
        <v>Date</v>
      </c>
      <c r="H4" s="3" t="str">
        <f>IFERROR(__xludf.DUMMYFUNCTION("""COMPUTED_VALUE"""),"Close")</f>
        <v>Close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0">
        <f>IFERROR(__xludf.DUMMYFUNCTION("""COMPUTED_VALUE"""),43832.66666666667)</f>
        <v>43832.66667</v>
      </c>
      <c r="B5" s="11">
        <f>IFERROR(__xludf.DUMMYFUNCTION("""COMPUTED_VALUE"""),54.99)</f>
        <v>54.99</v>
      </c>
      <c r="C5" s="10">
        <f>IFERROR(__xludf.DUMMYFUNCTION("""COMPUTED_VALUE"""),43832.66666666667)</f>
        <v>43832.66667</v>
      </c>
      <c r="D5" s="11">
        <f>IFERROR(__xludf.DUMMYFUNCTION("""COMPUTED_VALUE"""),160.62)</f>
        <v>160.62</v>
      </c>
      <c r="E5" s="10">
        <f>IFERROR(__xludf.DUMMYFUNCTION("""COMPUTED_VALUE"""),43832.66666666667)</f>
        <v>43832.66667</v>
      </c>
      <c r="F5" s="11">
        <f>IFERROR(__xludf.DUMMYFUNCTION("""COMPUTED_VALUE"""),28.68)</f>
        <v>28.68</v>
      </c>
      <c r="G5" s="12">
        <f>IFERROR(__xludf.DUMMYFUNCTION("""COMPUTED_VALUE"""),43832.66666666667)</f>
        <v>43832.66667</v>
      </c>
      <c r="H5" s="11">
        <f>IFERROR(__xludf.DUMMYFUNCTION("""COMPUTED_VALUE"""),75.09)</f>
        <v>75.09</v>
      </c>
    </row>
    <row r="6" ht="15.75" customHeight="1">
      <c r="A6" s="10">
        <f>IFERROR(__xludf.DUMMYFUNCTION("""COMPUTED_VALUE"""),43833.66666666667)</f>
        <v>43833.66667</v>
      </c>
      <c r="B6" s="11">
        <f>IFERROR(__xludf.DUMMYFUNCTION("""COMPUTED_VALUE"""),54.69)</f>
        <v>54.69</v>
      </c>
      <c r="C6" s="10">
        <f>IFERROR(__xludf.DUMMYFUNCTION("""COMPUTED_VALUE"""),43833.66666666667)</f>
        <v>43833.66667</v>
      </c>
      <c r="D6" s="11">
        <f>IFERROR(__xludf.DUMMYFUNCTION("""COMPUTED_VALUE"""),158.62)</f>
        <v>158.62</v>
      </c>
      <c r="E6" s="10">
        <f>IFERROR(__xludf.DUMMYFUNCTION("""COMPUTED_VALUE"""),43833.66666666667)</f>
        <v>43833.66667</v>
      </c>
      <c r="F6" s="11">
        <f>IFERROR(__xludf.DUMMYFUNCTION("""COMPUTED_VALUE"""),29.53)</f>
        <v>29.53</v>
      </c>
      <c r="G6" s="12">
        <f>IFERROR(__xludf.DUMMYFUNCTION("""COMPUTED_VALUE"""),43833.66666666667)</f>
        <v>43833.66667</v>
      </c>
      <c r="H6" s="11">
        <f>IFERROR(__xludf.DUMMYFUNCTION("""COMPUTED_VALUE"""),74.36)</f>
        <v>74.36</v>
      </c>
    </row>
    <row r="7" ht="15.75" customHeight="1">
      <c r="A7" s="10">
        <f>IFERROR(__xludf.DUMMYFUNCTION("""COMPUTED_VALUE"""),43836.66666666667)</f>
        <v>43836.66667</v>
      </c>
      <c r="B7" s="11">
        <f>IFERROR(__xludf.DUMMYFUNCTION("""COMPUTED_VALUE"""),54.67)</f>
        <v>54.67</v>
      </c>
      <c r="C7" s="10">
        <f>IFERROR(__xludf.DUMMYFUNCTION("""COMPUTED_VALUE"""),43836.66666666667)</f>
        <v>43836.66667</v>
      </c>
      <c r="D7" s="11">
        <f>IFERROR(__xludf.DUMMYFUNCTION("""COMPUTED_VALUE"""),159.03)</f>
        <v>159.03</v>
      </c>
      <c r="E7" s="10">
        <f>IFERROR(__xludf.DUMMYFUNCTION("""COMPUTED_VALUE"""),43836.66666666667)</f>
        <v>43836.66667</v>
      </c>
      <c r="F7" s="11">
        <f>IFERROR(__xludf.DUMMYFUNCTION("""COMPUTED_VALUE"""),30.1)</f>
        <v>30.1</v>
      </c>
      <c r="G7" s="12">
        <f>IFERROR(__xludf.DUMMYFUNCTION("""COMPUTED_VALUE"""),43836.66666666667)</f>
        <v>43836.66667</v>
      </c>
      <c r="H7" s="11">
        <f>IFERROR(__xludf.DUMMYFUNCTION("""COMPUTED_VALUE"""),74.95)</f>
        <v>74.95</v>
      </c>
    </row>
    <row r="8" ht="15.75" customHeight="1">
      <c r="A8" s="10">
        <f>IFERROR(__xludf.DUMMYFUNCTION("""COMPUTED_VALUE"""),43837.66666666667)</f>
        <v>43837.66667</v>
      </c>
      <c r="B8" s="11">
        <f>IFERROR(__xludf.DUMMYFUNCTION("""COMPUTED_VALUE"""),54.25)</f>
        <v>54.25</v>
      </c>
      <c r="C8" s="10">
        <f>IFERROR(__xludf.DUMMYFUNCTION("""COMPUTED_VALUE"""),43837.66666666667)</f>
        <v>43837.66667</v>
      </c>
      <c r="D8" s="11">
        <f>IFERROR(__xludf.DUMMYFUNCTION("""COMPUTED_VALUE"""),157.58)</f>
        <v>157.58</v>
      </c>
      <c r="E8" s="10">
        <f>IFERROR(__xludf.DUMMYFUNCTION("""COMPUTED_VALUE"""),43837.66666666667)</f>
        <v>43837.66667</v>
      </c>
      <c r="F8" s="11">
        <f>IFERROR(__xludf.DUMMYFUNCTION("""COMPUTED_VALUE"""),31.27)</f>
        <v>31.27</v>
      </c>
      <c r="G8" s="12">
        <f>IFERROR(__xludf.DUMMYFUNCTION("""COMPUTED_VALUE"""),43837.66666666667)</f>
        <v>43837.66667</v>
      </c>
      <c r="H8" s="11">
        <f>IFERROR(__xludf.DUMMYFUNCTION("""COMPUTED_VALUE"""),74.6)</f>
        <v>74.6</v>
      </c>
    </row>
    <row r="9" ht="15.75" customHeight="1">
      <c r="A9" s="10">
        <f>IFERROR(__xludf.DUMMYFUNCTION("""COMPUTED_VALUE"""),43838.66666666667)</f>
        <v>43838.66667</v>
      </c>
      <c r="B9" s="11">
        <f>IFERROR(__xludf.DUMMYFUNCTION("""COMPUTED_VALUE"""),54.35)</f>
        <v>54.35</v>
      </c>
      <c r="C9" s="10">
        <f>IFERROR(__xludf.DUMMYFUNCTION("""COMPUTED_VALUE"""),43838.66666666667)</f>
        <v>43838.66667</v>
      </c>
      <c r="D9" s="11">
        <f>IFERROR(__xludf.DUMMYFUNCTION("""COMPUTED_VALUE"""),160.09)</f>
        <v>160.09</v>
      </c>
      <c r="E9" s="10">
        <f>IFERROR(__xludf.DUMMYFUNCTION("""COMPUTED_VALUE"""),43838.66666666667)</f>
        <v>43838.66667</v>
      </c>
      <c r="F9" s="11">
        <f>IFERROR(__xludf.DUMMYFUNCTION("""COMPUTED_VALUE"""),32.81)</f>
        <v>32.81</v>
      </c>
      <c r="G9" s="12">
        <f>IFERROR(__xludf.DUMMYFUNCTION("""COMPUTED_VALUE"""),43838.66666666667)</f>
        <v>43838.66667</v>
      </c>
      <c r="H9" s="11">
        <f>IFERROR(__xludf.DUMMYFUNCTION("""COMPUTED_VALUE"""),75.8)</f>
        <v>75.8</v>
      </c>
    </row>
    <row r="10" ht="15.75" customHeight="1">
      <c r="A10" s="10">
        <f>IFERROR(__xludf.DUMMYFUNCTION("""COMPUTED_VALUE"""),43839.66666666667)</f>
        <v>43839.66667</v>
      </c>
      <c r="B10" s="11">
        <f>IFERROR(__xludf.DUMMYFUNCTION("""COMPUTED_VALUE"""),55.34)</f>
        <v>55.34</v>
      </c>
      <c r="C10" s="10">
        <f>IFERROR(__xludf.DUMMYFUNCTION("""COMPUTED_VALUE"""),43839.66666666667)</f>
        <v>43839.66667</v>
      </c>
      <c r="D10" s="11">
        <f>IFERROR(__xludf.DUMMYFUNCTION("""COMPUTED_VALUE"""),162.09)</f>
        <v>162.09</v>
      </c>
      <c r="E10" s="10">
        <f>IFERROR(__xludf.DUMMYFUNCTION("""COMPUTED_VALUE"""),43839.66666666667)</f>
        <v>43839.66667</v>
      </c>
      <c r="F10" s="11">
        <f>IFERROR(__xludf.DUMMYFUNCTION("""COMPUTED_VALUE"""),32.09)</f>
        <v>32.09</v>
      </c>
      <c r="G10" s="12">
        <f>IFERROR(__xludf.DUMMYFUNCTION("""COMPUTED_VALUE"""),43839.66666666667)</f>
        <v>43839.66667</v>
      </c>
      <c r="H10" s="11">
        <f>IFERROR(__xludf.DUMMYFUNCTION("""COMPUTED_VALUE"""),77.41)</f>
        <v>77.41</v>
      </c>
    </row>
    <row r="11" ht="15.75" customHeight="1">
      <c r="A11" s="10">
        <f>IFERROR(__xludf.DUMMYFUNCTION("""COMPUTED_VALUE"""),43840.66666666667)</f>
        <v>43840.66667</v>
      </c>
      <c r="B11" s="11">
        <f>IFERROR(__xludf.DUMMYFUNCTION("""COMPUTED_VALUE"""),55.53)</f>
        <v>55.53</v>
      </c>
      <c r="C11" s="10">
        <f>IFERROR(__xludf.DUMMYFUNCTION("""COMPUTED_VALUE"""),43840.66666666667)</f>
        <v>43840.66667</v>
      </c>
      <c r="D11" s="11">
        <f>IFERROR(__xludf.DUMMYFUNCTION("""COMPUTED_VALUE"""),161.34)</f>
        <v>161.34</v>
      </c>
      <c r="E11" s="10">
        <f>IFERROR(__xludf.DUMMYFUNCTION("""COMPUTED_VALUE"""),43840.66666666667)</f>
        <v>43840.66667</v>
      </c>
      <c r="F11" s="11">
        <f>IFERROR(__xludf.DUMMYFUNCTION("""COMPUTED_VALUE"""),31.88)</f>
        <v>31.88</v>
      </c>
      <c r="G11" s="12">
        <f>IFERROR(__xludf.DUMMYFUNCTION("""COMPUTED_VALUE"""),43840.66666666667)</f>
        <v>43840.66667</v>
      </c>
      <c r="H11" s="11">
        <f>IFERROR(__xludf.DUMMYFUNCTION("""COMPUTED_VALUE"""),77.58)</f>
        <v>77.58</v>
      </c>
    </row>
    <row r="12" ht="15.75" customHeight="1">
      <c r="A12" s="10">
        <f>IFERROR(__xludf.DUMMYFUNCTION("""COMPUTED_VALUE"""),43843.66666666667)</f>
        <v>43843.66667</v>
      </c>
      <c r="B12" s="11">
        <f>IFERROR(__xludf.DUMMYFUNCTION("""COMPUTED_VALUE"""),56.13)</f>
        <v>56.13</v>
      </c>
      <c r="C12" s="10">
        <f>IFERROR(__xludf.DUMMYFUNCTION("""COMPUTED_VALUE"""),43843.66666666667)</f>
        <v>43843.66667</v>
      </c>
      <c r="D12" s="11">
        <f>IFERROR(__xludf.DUMMYFUNCTION("""COMPUTED_VALUE"""),163.28)</f>
        <v>163.28</v>
      </c>
      <c r="E12" s="10">
        <f>IFERROR(__xludf.DUMMYFUNCTION("""COMPUTED_VALUE"""),43843.66666666667)</f>
        <v>43843.66667</v>
      </c>
      <c r="F12" s="11">
        <f>IFERROR(__xludf.DUMMYFUNCTION("""COMPUTED_VALUE"""),34.99)</f>
        <v>34.99</v>
      </c>
      <c r="G12" s="12">
        <f>IFERROR(__xludf.DUMMYFUNCTION("""COMPUTED_VALUE"""),43843.66666666667)</f>
        <v>43843.66667</v>
      </c>
      <c r="H12" s="11">
        <f>IFERROR(__xludf.DUMMYFUNCTION("""COMPUTED_VALUE"""),79.24)</f>
        <v>79.24</v>
      </c>
    </row>
    <row r="13" ht="15.75" customHeight="1">
      <c r="A13" s="10">
        <f>IFERROR(__xludf.DUMMYFUNCTION("""COMPUTED_VALUE"""),43844.66666666667)</f>
        <v>43844.66667</v>
      </c>
      <c r="B13" s="11">
        <f>IFERROR(__xludf.DUMMYFUNCTION("""COMPUTED_VALUE"""),56.0)</f>
        <v>56</v>
      </c>
      <c r="C13" s="10">
        <f>IFERROR(__xludf.DUMMYFUNCTION("""COMPUTED_VALUE"""),43844.66666666667)</f>
        <v>43844.66667</v>
      </c>
      <c r="D13" s="11">
        <f>IFERROR(__xludf.DUMMYFUNCTION("""COMPUTED_VALUE"""),162.13)</f>
        <v>162.13</v>
      </c>
      <c r="E13" s="10">
        <f>IFERROR(__xludf.DUMMYFUNCTION("""COMPUTED_VALUE"""),43844.66666666667)</f>
        <v>43844.66667</v>
      </c>
      <c r="F13" s="11">
        <f>IFERROR(__xludf.DUMMYFUNCTION("""COMPUTED_VALUE"""),35.86)</f>
        <v>35.86</v>
      </c>
      <c r="G13" s="12">
        <f>IFERROR(__xludf.DUMMYFUNCTION("""COMPUTED_VALUE"""),43844.66666666667)</f>
        <v>43844.66667</v>
      </c>
      <c r="H13" s="11">
        <f>IFERROR(__xludf.DUMMYFUNCTION("""COMPUTED_VALUE"""),78.17)</f>
        <v>78.17</v>
      </c>
    </row>
    <row r="14" ht="15.75" customHeight="1">
      <c r="A14" s="10">
        <f>IFERROR(__xludf.DUMMYFUNCTION("""COMPUTED_VALUE"""),43845.66666666667)</f>
        <v>43845.66667</v>
      </c>
      <c r="B14" s="11">
        <f>IFERROR(__xludf.DUMMYFUNCTION("""COMPUTED_VALUE"""),56.7)</f>
        <v>56.7</v>
      </c>
      <c r="C14" s="10">
        <f>IFERROR(__xludf.DUMMYFUNCTION("""COMPUTED_VALUE"""),43845.66666666667)</f>
        <v>43845.66667</v>
      </c>
      <c r="D14" s="11">
        <f>IFERROR(__xludf.DUMMYFUNCTION("""COMPUTED_VALUE"""),163.18)</f>
        <v>163.18</v>
      </c>
      <c r="E14" s="10">
        <f>IFERROR(__xludf.DUMMYFUNCTION("""COMPUTED_VALUE"""),43845.66666666667)</f>
        <v>43845.66667</v>
      </c>
      <c r="F14" s="11">
        <f>IFERROR(__xludf.DUMMYFUNCTION("""COMPUTED_VALUE"""),34.57)</f>
        <v>34.57</v>
      </c>
      <c r="G14" s="12">
        <f>IFERROR(__xludf.DUMMYFUNCTION("""COMPUTED_VALUE"""),43845.66666666667)</f>
        <v>43845.66667</v>
      </c>
      <c r="H14" s="11">
        <f>IFERROR(__xludf.DUMMYFUNCTION("""COMPUTED_VALUE"""),77.83)</f>
        <v>77.83</v>
      </c>
    </row>
    <row r="15" ht="15.75" customHeight="1">
      <c r="A15" s="10">
        <f>IFERROR(__xludf.DUMMYFUNCTION("""COMPUTED_VALUE"""),43846.66666666667)</f>
        <v>43846.66667</v>
      </c>
      <c r="B15" s="11">
        <f>IFERROR(__xludf.DUMMYFUNCTION("""COMPUTED_VALUE"""),56.82)</f>
        <v>56.82</v>
      </c>
      <c r="C15" s="10">
        <f>IFERROR(__xludf.DUMMYFUNCTION("""COMPUTED_VALUE"""),43846.66666666667)</f>
        <v>43846.66667</v>
      </c>
      <c r="D15" s="11">
        <f>IFERROR(__xludf.DUMMYFUNCTION("""COMPUTED_VALUE"""),166.17)</f>
        <v>166.17</v>
      </c>
      <c r="E15" s="10">
        <f>IFERROR(__xludf.DUMMYFUNCTION("""COMPUTED_VALUE"""),43846.66666666667)</f>
        <v>43846.66667</v>
      </c>
      <c r="F15" s="11">
        <f>IFERROR(__xludf.DUMMYFUNCTION("""COMPUTED_VALUE"""),34.23)</f>
        <v>34.23</v>
      </c>
      <c r="G15" s="12">
        <f>IFERROR(__xludf.DUMMYFUNCTION("""COMPUTED_VALUE"""),43846.66666666667)</f>
        <v>43846.66667</v>
      </c>
      <c r="H15" s="11">
        <f>IFERROR(__xludf.DUMMYFUNCTION("""COMPUTED_VALUE"""),78.81)</f>
        <v>78.81</v>
      </c>
    </row>
    <row r="16" ht="15.75" customHeight="1">
      <c r="A16" s="10">
        <f>IFERROR(__xludf.DUMMYFUNCTION("""COMPUTED_VALUE"""),43847.66666666667)</f>
        <v>43847.66667</v>
      </c>
      <c r="B16" s="11">
        <f>IFERROR(__xludf.DUMMYFUNCTION("""COMPUTED_VALUE"""),56.94)</f>
        <v>56.94</v>
      </c>
      <c r="C16" s="10">
        <f>IFERROR(__xludf.DUMMYFUNCTION("""COMPUTED_VALUE"""),43847.66666666667)</f>
        <v>43847.66667</v>
      </c>
      <c r="D16" s="11">
        <f>IFERROR(__xludf.DUMMYFUNCTION("""COMPUTED_VALUE"""),167.1)</f>
        <v>167.1</v>
      </c>
      <c r="E16" s="10">
        <f>IFERROR(__xludf.DUMMYFUNCTION("""COMPUTED_VALUE"""),43847.66666666667)</f>
        <v>43847.66667</v>
      </c>
      <c r="F16" s="11">
        <f>IFERROR(__xludf.DUMMYFUNCTION("""COMPUTED_VALUE"""),34.03)</f>
        <v>34.03</v>
      </c>
      <c r="G16" s="12">
        <f>IFERROR(__xludf.DUMMYFUNCTION("""COMPUTED_VALUE"""),43847.66666666667)</f>
        <v>43847.66667</v>
      </c>
      <c r="H16" s="11">
        <f>IFERROR(__xludf.DUMMYFUNCTION("""COMPUTED_VALUE"""),79.68)</f>
        <v>79.68</v>
      </c>
    </row>
    <row r="17" ht="15.75" customHeight="1">
      <c r="A17" s="10">
        <f>IFERROR(__xludf.DUMMYFUNCTION("""COMPUTED_VALUE"""),43851.66666666667)</f>
        <v>43851.66667</v>
      </c>
      <c r="B17" s="11">
        <f>IFERROR(__xludf.DUMMYFUNCTION("""COMPUTED_VALUE"""),57.17)</f>
        <v>57.17</v>
      </c>
      <c r="C17" s="10">
        <f>IFERROR(__xludf.DUMMYFUNCTION("""COMPUTED_VALUE"""),43851.66666666667)</f>
        <v>43851.66667</v>
      </c>
      <c r="D17" s="11">
        <f>IFERROR(__xludf.DUMMYFUNCTION("""COMPUTED_VALUE"""),166.5)</f>
        <v>166.5</v>
      </c>
      <c r="E17" s="10">
        <f>IFERROR(__xludf.DUMMYFUNCTION("""COMPUTED_VALUE"""),43851.66666666667)</f>
        <v>43851.66667</v>
      </c>
      <c r="F17" s="11">
        <f>IFERROR(__xludf.DUMMYFUNCTION("""COMPUTED_VALUE"""),36.48)</f>
        <v>36.48</v>
      </c>
      <c r="G17" s="12">
        <f>IFERROR(__xludf.DUMMYFUNCTION("""COMPUTED_VALUE"""),43851.66666666667)</f>
        <v>43851.66667</v>
      </c>
      <c r="H17" s="11">
        <f>IFERROR(__xludf.DUMMYFUNCTION("""COMPUTED_VALUE"""),79.14)</f>
        <v>79.14</v>
      </c>
    </row>
    <row r="18" ht="15.75" customHeight="1">
      <c r="A18" s="10">
        <f>IFERROR(__xludf.DUMMYFUNCTION("""COMPUTED_VALUE"""),43852.66666666667)</f>
        <v>43852.66667</v>
      </c>
      <c r="B18" s="11">
        <f>IFERROR(__xludf.DUMMYFUNCTION("""COMPUTED_VALUE"""),57.61)</f>
        <v>57.61</v>
      </c>
      <c r="C18" s="10">
        <f>IFERROR(__xludf.DUMMYFUNCTION("""COMPUTED_VALUE"""),43852.66666666667)</f>
        <v>43852.66667</v>
      </c>
      <c r="D18" s="11">
        <f>IFERROR(__xludf.DUMMYFUNCTION("""COMPUTED_VALUE"""),165.7)</f>
        <v>165.7</v>
      </c>
      <c r="E18" s="10">
        <f>IFERROR(__xludf.DUMMYFUNCTION("""COMPUTED_VALUE"""),43852.66666666667)</f>
        <v>43852.66667</v>
      </c>
      <c r="F18" s="11">
        <f>IFERROR(__xludf.DUMMYFUNCTION("""COMPUTED_VALUE"""),37.97)</f>
        <v>37.97</v>
      </c>
      <c r="G18" s="12">
        <f>IFERROR(__xludf.DUMMYFUNCTION("""COMPUTED_VALUE"""),43852.66666666667)</f>
        <v>43852.66667</v>
      </c>
      <c r="H18" s="11">
        <f>IFERROR(__xludf.DUMMYFUNCTION("""COMPUTED_VALUE"""),79.43)</f>
        <v>79.43</v>
      </c>
    </row>
    <row r="19" ht="15.75" customHeight="1">
      <c r="A19" s="10">
        <f>IFERROR(__xludf.DUMMYFUNCTION("""COMPUTED_VALUE"""),43853.66666666667)</f>
        <v>43853.66667</v>
      </c>
      <c r="B19" s="11">
        <f>IFERROR(__xludf.DUMMYFUNCTION("""COMPUTED_VALUE"""),57.83)</f>
        <v>57.83</v>
      </c>
      <c r="C19" s="10">
        <f>IFERROR(__xludf.DUMMYFUNCTION("""COMPUTED_VALUE"""),43853.66666666667)</f>
        <v>43853.66667</v>
      </c>
      <c r="D19" s="11">
        <f>IFERROR(__xludf.DUMMYFUNCTION("""COMPUTED_VALUE"""),166.72)</f>
        <v>166.72</v>
      </c>
      <c r="E19" s="10">
        <f>IFERROR(__xludf.DUMMYFUNCTION("""COMPUTED_VALUE"""),43853.66666666667)</f>
        <v>43853.66667</v>
      </c>
      <c r="F19" s="11">
        <f>IFERROR(__xludf.DUMMYFUNCTION("""COMPUTED_VALUE"""),38.15)</f>
        <v>38.15</v>
      </c>
      <c r="G19" s="12">
        <f>IFERROR(__xludf.DUMMYFUNCTION("""COMPUTED_VALUE"""),43853.66666666667)</f>
        <v>43853.66667</v>
      </c>
      <c r="H19" s="11">
        <f>IFERROR(__xludf.DUMMYFUNCTION("""COMPUTED_VALUE"""),79.81)</f>
        <v>79.81</v>
      </c>
    </row>
    <row r="20" ht="15.75" customHeight="1">
      <c r="A20" s="10">
        <f>IFERROR(__xludf.DUMMYFUNCTION("""COMPUTED_VALUE"""),43854.66666666667)</f>
        <v>43854.66667</v>
      </c>
      <c r="B20" s="11">
        <f>IFERROR(__xludf.DUMMYFUNCTION("""COMPUTED_VALUE"""),57.68)</f>
        <v>57.68</v>
      </c>
      <c r="C20" s="10">
        <f>IFERROR(__xludf.DUMMYFUNCTION("""COMPUTED_VALUE"""),43854.66666666667)</f>
        <v>43854.66667</v>
      </c>
      <c r="D20" s="11">
        <f>IFERROR(__xludf.DUMMYFUNCTION("""COMPUTED_VALUE"""),165.04)</f>
        <v>165.04</v>
      </c>
      <c r="E20" s="10">
        <f>IFERROR(__xludf.DUMMYFUNCTION("""COMPUTED_VALUE"""),43854.66666666667)</f>
        <v>43854.66667</v>
      </c>
      <c r="F20" s="11">
        <f>IFERROR(__xludf.DUMMYFUNCTION("""COMPUTED_VALUE"""),37.65)</f>
        <v>37.65</v>
      </c>
      <c r="G20" s="12">
        <f>IFERROR(__xludf.DUMMYFUNCTION("""COMPUTED_VALUE"""),43854.66666666667)</f>
        <v>43854.66667</v>
      </c>
      <c r="H20" s="11">
        <f>IFERROR(__xludf.DUMMYFUNCTION("""COMPUTED_VALUE"""),79.58)</f>
        <v>79.58</v>
      </c>
    </row>
    <row r="21" ht="15.75" customHeight="1">
      <c r="A21" s="10">
        <f>IFERROR(__xludf.DUMMYFUNCTION("""COMPUTED_VALUE"""),43857.66666666667)</f>
        <v>43857.66667</v>
      </c>
      <c r="B21" s="11">
        <f>IFERROR(__xludf.DUMMYFUNCTION("""COMPUTED_VALUE"""),57.48)</f>
        <v>57.48</v>
      </c>
      <c r="C21" s="10">
        <f>IFERROR(__xludf.DUMMYFUNCTION("""COMPUTED_VALUE"""),43857.66666666667)</f>
        <v>43857.66667</v>
      </c>
      <c r="D21" s="11">
        <f>IFERROR(__xludf.DUMMYFUNCTION("""COMPUTED_VALUE"""),162.28)</f>
        <v>162.28</v>
      </c>
      <c r="E21" s="10">
        <f>IFERROR(__xludf.DUMMYFUNCTION("""COMPUTED_VALUE"""),43857.66666666667)</f>
        <v>43857.66667</v>
      </c>
      <c r="F21" s="11">
        <f>IFERROR(__xludf.DUMMYFUNCTION("""COMPUTED_VALUE"""),37.2)</f>
        <v>37.2</v>
      </c>
      <c r="G21" s="12">
        <f>IFERROR(__xludf.DUMMYFUNCTION("""COMPUTED_VALUE"""),43857.66666666667)</f>
        <v>43857.66667</v>
      </c>
      <c r="H21" s="11">
        <f>IFERROR(__xludf.DUMMYFUNCTION("""COMPUTED_VALUE"""),77.24)</f>
        <v>77.24</v>
      </c>
    </row>
    <row r="22" ht="15.75" customHeight="1">
      <c r="A22" s="10">
        <f>IFERROR(__xludf.DUMMYFUNCTION("""COMPUTED_VALUE"""),43858.66666666667)</f>
        <v>43858.66667</v>
      </c>
      <c r="B22" s="11">
        <f>IFERROR(__xludf.DUMMYFUNCTION("""COMPUTED_VALUE"""),57.01)</f>
        <v>57.01</v>
      </c>
      <c r="C22" s="10">
        <f>IFERROR(__xludf.DUMMYFUNCTION("""COMPUTED_VALUE"""),43858.66666666667)</f>
        <v>43858.66667</v>
      </c>
      <c r="D22" s="11">
        <f>IFERROR(__xludf.DUMMYFUNCTION("""COMPUTED_VALUE"""),165.46)</f>
        <v>165.46</v>
      </c>
      <c r="E22" s="10">
        <f>IFERROR(__xludf.DUMMYFUNCTION("""COMPUTED_VALUE"""),43858.66666666667)</f>
        <v>43858.66667</v>
      </c>
      <c r="F22" s="11">
        <f>IFERROR(__xludf.DUMMYFUNCTION("""COMPUTED_VALUE"""),37.79)</f>
        <v>37.79</v>
      </c>
      <c r="G22" s="12">
        <f>IFERROR(__xludf.DUMMYFUNCTION("""COMPUTED_VALUE"""),43858.66666666667)</f>
        <v>43858.66667</v>
      </c>
      <c r="H22" s="11">
        <f>IFERROR(__xludf.DUMMYFUNCTION("""COMPUTED_VALUE"""),79.42)</f>
        <v>79.42</v>
      </c>
    </row>
    <row r="23" ht="15.75" customHeight="1">
      <c r="A23" s="10">
        <f>IFERROR(__xludf.DUMMYFUNCTION("""COMPUTED_VALUE"""),43859.66666666667)</f>
        <v>43859.66667</v>
      </c>
      <c r="B23" s="11">
        <f>IFERROR(__xludf.DUMMYFUNCTION("""COMPUTED_VALUE"""),57.01)</f>
        <v>57.01</v>
      </c>
      <c r="C23" s="10">
        <f>IFERROR(__xludf.DUMMYFUNCTION("""COMPUTED_VALUE"""),43859.66666666667)</f>
        <v>43859.66667</v>
      </c>
      <c r="D23" s="11">
        <f>IFERROR(__xludf.DUMMYFUNCTION("""COMPUTED_VALUE"""),168.04)</f>
        <v>168.04</v>
      </c>
      <c r="E23" s="10">
        <f>IFERROR(__xludf.DUMMYFUNCTION("""COMPUTED_VALUE"""),43859.66666666667)</f>
        <v>43859.66667</v>
      </c>
      <c r="F23" s="11">
        <f>IFERROR(__xludf.DUMMYFUNCTION("""COMPUTED_VALUE"""),38.73)</f>
        <v>38.73</v>
      </c>
      <c r="G23" s="12">
        <f>IFERROR(__xludf.DUMMYFUNCTION("""COMPUTED_VALUE"""),43859.66666666667)</f>
        <v>43859.66667</v>
      </c>
      <c r="H23" s="11">
        <f>IFERROR(__xludf.DUMMYFUNCTION("""COMPUTED_VALUE"""),81.08)</f>
        <v>81.08</v>
      </c>
    </row>
    <row r="24" ht="15.75" customHeight="1">
      <c r="A24" s="10">
        <f>IFERROR(__xludf.DUMMYFUNCTION("""COMPUTED_VALUE"""),43860.66666666667)</f>
        <v>43860.66667</v>
      </c>
      <c r="B24" s="11">
        <f>IFERROR(__xludf.DUMMYFUNCTION("""COMPUTED_VALUE"""),58.86)</f>
        <v>58.86</v>
      </c>
      <c r="C24" s="10">
        <f>IFERROR(__xludf.DUMMYFUNCTION("""COMPUTED_VALUE"""),43860.66666666667)</f>
        <v>43860.66667</v>
      </c>
      <c r="D24" s="11">
        <f>IFERROR(__xludf.DUMMYFUNCTION("""COMPUTED_VALUE"""),172.78)</f>
        <v>172.78</v>
      </c>
      <c r="E24" s="10">
        <f>IFERROR(__xludf.DUMMYFUNCTION("""COMPUTED_VALUE"""),43860.66666666667)</f>
        <v>43860.66667</v>
      </c>
      <c r="F24" s="11">
        <f>IFERROR(__xludf.DUMMYFUNCTION("""COMPUTED_VALUE"""),42.72)</f>
        <v>42.72</v>
      </c>
      <c r="G24" s="12">
        <f>IFERROR(__xludf.DUMMYFUNCTION("""COMPUTED_VALUE"""),43860.66666666667)</f>
        <v>43860.66667</v>
      </c>
      <c r="H24" s="11">
        <f>IFERROR(__xludf.DUMMYFUNCTION("""COMPUTED_VALUE"""),80.97)</f>
        <v>80.97</v>
      </c>
    </row>
    <row r="25" ht="15.75" customHeight="1">
      <c r="A25" s="10">
        <f>IFERROR(__xludf.DUMMYFUNCTION("""COMPUTED_VALUE"""),43861.66666666667)</f>
        <v>43861.66667</v>
      </c>
      <c r="B25" s="11">
        <f>IFERROR(__xludf.DUMMYFUNCTION("""COMPUTED_VALUE"""),58.4)</f>
        <v>58.4</v>
      </c>
      <c r="C25" s="10">
        <f>IFERROR(__xludf.DUMMYFUNCTION("""COMPUTED_VALUE"""),43861.66666666667)</f>
        <v>43861.66667</v>
      </c>
      <c r="D25" s="11">
        <f>IFERROR(__xludf.DUMMYFUNCTION("""COMPUTED_VALUE"""),170.23)</f>
        <v>170.23</v>
      </c>
      <c r="E25" s="10">
        <f>IFERROR(__xludf.DUMMYFUNCTION("""COMPUTED_VALUE"""),43861.66666666667)</f>
        <v>43861.66667</v>
      </c>
      <c r="F25" s="11">
        <f>IFERROR(__xludf.DUMMYFUNCTION("""COMPUTED_VALUE"""),43.37)</f>
        <v>43.37</v>
      </c>
      <c r="G25" s="12">
        <f>IFERROR(__xludf.DUMMYFUNCTION("""COMPUTED_VALUE"""),43861.66666666667)</f>
        <v>43861.66667</v>
      </c>
      <c r="H25" s="11">
        <f>IFERROR(__xludf.DUMMYFUNCTION("""COMPUTED_VALUE"""),77.38)</f>
        <v>77.38</v>
      </c>
    </row>
    <row r="26" ht="15.75" customHeight="1">
      <c r="A26" s="10">
        <f>IFERROR(__xludf.DUMMYFUNCTION("""COMPUTED_VALUE"""),43864.66666666667)</f>
        <v>43864.66667</v>
      </c>
      <c r="B26" s="11">
        <f>IFERROR(__xludf.DUMMYFUNCTION("""COMPUTED_VALUE"""),58.58)</f>
        <v>58.58</v>
      </c>
      <c r="C26" s="10">
        <f>IFERROR(__xludf.DUMMYFUNCTION("""COMPUTED_VALUE"""),43864.66666666667)</f>
        <v>43864.66667</v>
      </c>
      <c r="D26" s="11">
        <f>IFERROR(__xludf.DUMMYFUNCTION("""COMPUTED_VALUE"""),174.38)</f>
        <v>174.38</v>
      </c>
      <c r="E26" s="10">
        <f>IFERROR(__xludf.DUMMYFUNCTION("""COMPUTED_VALUE"""),43864.66666666667)</f>
        <v>43864.66667</v>
      </c>
      <c r="F26" s="11">
        <f>IFERROR(__xludf.DUMMYFUNCTION("""COMPUTED_VALUE"""),52.0)</f>
        <v>52</v>
      </c>
      <c r="G26" s="12">
        <f>IFERROR(__xludf.DUMMYFUNCTION("""COMPUTED_VALUE"""),43864.66666666667)</f>
        <v>43864.66667</v>
      </c>
      <c r="H26" s="11">
        <f>IFERROR(__xludf.DUMMYFUNCTION("""COMPUTED_VALUE"""),77.17)</f>
        <v>77.17</v>
      </c>
    </row>
    <row r="27" ht="15.75" customHeight="1">
      <c r="A27" s="10">
        <f>IFERROR(__xludf.DUMMYFUNCTION("""COMPUTED_VALUE"""),43865.66666666667)</f>
        <v>43865.66667</v>
      </c>
      <c r="B27" s="11">
        <f>IFERROR(__xludf.DUMMYFUNCTION("""COMPUTED_VALUE"""),58.84)</f>
        <v>58.84</v>
      </c>
      <c r="C27" s="10">
        <f>IFERROR(__xludf.DUMMYFUNCTION("""COMPUTED_VALUE"""),43865.66666666667)</f>
        <v>43865.66667</v>
      </c>
      <c r="D27" s="11">
        <f>IFERROR(__xludf.DUMMYFUNCTION("""COMPUTED_VALUE"""),180.12)</f>
        <v>180.12</v>
      </c>
      <c r="E27" s="10">
        <f>IFERROR(__xludf.DUMMYFUNCTION("""COMPUTED_VALUE"""),43865.66666666667)</f>
        <v>43865.66667</v>
      </c>
      <c r="F27" s="11">
        <f>IFERROR(__xludf.DUMMYFUNCTION("""COMPUTED_VALUE"""),59.14)</f>
        <v>59.14</v>
      </c>
      <c r="G27" s="12">
        <f>IFERROR(__xludf.DUMMYFUNCTION("""COMPUTED_VALUE"""),43865.66666666667)</f>
        <v>43865.66667</v>
      </c>
      <c r="H27" s="11">
        <f>IFERROR(__xludf.DUMMYFUNCTION("""COMPUTED_VALUE"""),79.71)</f>
        <v>79.71</v>
      </c>
    </row>
    <row r="28" ht="15.75" customHeight="1">
      <c r="A28" s="10">
        <f>IFERROR(__xludf.DUMMYFUNCTION("""COMPUTED_VALUE"""),43866.66666666667)</f>
        <v>43866.66667</v>
      </c>
      <c r="B28" s="11">
        <f>IFERROR(__xludf.DUMMYFUNCTION("""COMPUTED_VALUE"""),58.85)</f>
        <v>58.85</v>
      </c>
      <c r="C28" s="10">
        <f>IFERROR(__xludf.DUMMYFUNCTION("""COMPUTED_VALUE"""),43866.66666666667)</f>
        <v>43866.66667</v>
      </c>
      <c r="D28" s="11">
        <f>IFERROR(__xludf.DUMMYFUNCTION("""COMPUTED_VALUE"""),179.9)</f>
        <v>179.9</v>
      </c>
      <c r="E28" s="10">
        <f>IFERROR(__xludf.DUMMYFUNCTION("""COMPUTED_VALUE"""),43866.66666666667)</f>
        <v>43866.66667</v>
      </c>
      <c r="F28" s="11">
        <f>IFERROR(__xludf.DUMMYFUNCTION("""COMPUTED_VALUE"""),48.98)</f>
        <v>48.98</v>
      </c>
      <c r="G28" s="12">
        <f>IFERROR(__xludf.DUMMYFUNCTION("""COMPUTED_VALUE"""),43866.66666666667)</f>
        <v>43866.66667</v>
      </c>
      <c r="H28" s="11">
        <f>IFERROR(__xludf.DUMMYFUNCTION("""COMPUTED_VALUE"""),80.36)</f>
        <v>80.36</v>
      </c>
    </row>
    <row r="29" ht="15.75" customHeight="1">
      <c r="A29" s="10">
        <f>IFERROR(__xludf.DUMMYFUNCTION("""COMPUTED_VALUE"""),43867.66666666667)</f>
        <v>43867.66667</v>
      </c>
      <c r="B29" s="11">
        <f>IFERROR(__xludf.DUMMYFUNCTION("""COMPUTED_VALUE"""),58.99)</f>
        <v>58.99</v>
      </c>
      <c r="C29" s="10">
        <f>IFERROR(__xludf.DUMMYFUNCTION("""COMPUTED_VALUE"""),43867.66666666667)</f>
        <v>43867.66667</v>
      </c>
      <c r="D29" s="11">
        <f>IFERROR(__xludf.DUMMYFUNCTION("""COMPUTED_VALUE"""),183.63)</f>
        <v>183.63</v>
      </c>
      <c r="E29" s="10">
        <f>IFERROR(__xludf.DUMMYFUNCTION("""COMPUTED_VALUE"""),43867.66666666667)</f>
        <v>43867.66667</v>
      </c>
      <c r="F29" s="11">
        <f>IFERROR(__xludf.DUMMYFUNCTION("""COMPUTED_VALUE"""),49.93)</f>
        <v>49.93</v>
      </c>
      <c r="G29" s="12">
        <f>IFERROR(__xludf.DUMMYFUNCTION("""COMPUTED_VALUE"""),43867.66666666667)</f>
        <v>43867.66667</v>
      </c>
      <c r="H29" s="11">
        <f>IFERROR(__xludf.DUMMYFUNCTION("""COMPUTED_VALUE"""),81.3)</f>
        <v>81.3</v>
      </c>
    </row>
    <row r="30" ht="15.75" customHeight="1">
      <c r="A30" s="10">
        <f>IFERROR(__xludf.DUMMYFUNCTION("""COMPUTED_VALUE"""),43868.66666666667)</f>
        <v>43868.66667</v>
      </c>
      <c r="B30" s="11">
        <f>IFERROR(__xludf.DUMMYFUNCTION("""COMPUTED_VALUE"""),59.19)</f>
        <v>59.19</v>
      </c>
      <c r="C30" s="10">
        <f>IFERROR(__xludf.DUMMYFUNCTION("""COMPUTED_VALUE"""),43868.66666666667)</f>
        <v>43868.66667</v>
      </c>
      <c r="D30" s="11">
        <f>IFERROR(__xludf.DUMMYFUNCTION("""COMPUTED_VALUE"""),183.89)</f>
        <v>183.89</v>
      </c>
      <c r="E30" s="10">
        <f>IFERROR(__xludf.DUMMYFUNCTION("""COMPUTED_VALUE"""),43868.66666666667)</f>
        <v>43868.66667</v>
      </c>
      <c r="F30" s="11">
        <f>IFERROR(__xludf.DUMMYFUNCTION("""COMPUTED_VALUE"""),49.87)</f>
        <v>49.87</v>
      </c>
      <c r="G30" s="12">
        <f>IFERROR(__xludf.DUMMYFUNCTION("""COMPUTED_VALUE"""),43868.66666666667)</f>
        <v>43868.66667</v>
      </c>
      <c r="H30" s="11">
        <f>IFERROR(__xludf.DUMMYFUNCTION("""COMPUTED_VALUE"""),80.01)</f>
        <v>80.01</v>
      </c>
    </row>
    <row r="31" ht="15.75" customHeight="1">
      <c r="A31" s="10">
        <f>IFERROR(__xludf.DUMMYFUNCTION("""COMPUTED_VALUE"""),43871.66666666667)</f>
        <v>43871.66667</v>
      </c>
      <c r="B31" s="11">
        <f>IFERROR(__xludf.DUMMYFUNCTION("""COMPUTED_VALUE"""),59.75)</f>
        <v>59.75</v>
      </c>
      <c r="C31" s="10">
        <f>IFERROR(__xludf.DUMMYFUNCTION("""COMPUTED_VALUE"""),43871.66666666667)</f>
        <v>43871.66667</v>
      </c>
      <c r="D31" s="11">
        <f>IFERROR(__xludf.DUMMYFUNCTION("""COMPUTED_VALUE"""),188.7)</f>
        <v>188.7</v>
      </c>
      <c r="E31" s="10">
        <f>IFERROR(__xludf.DUMMYFUNCTION("""COMPUTED_VALUE"""),43871.66666666667)</f>
        <v>43871.66667</v>
      </c>
      <c r="F31" s="11">
        <f>IFERROR(__xludf.DUMMYFUNCTION("""COMPUTED_VALUE"""),51.42)</f>
        <v>51.42</v>
      </c>
      <c r="G31" s="12">
        <f>IFERROR(__xludf.DUMMYFUNCTION("""COMPUTED_VALUE"""),43871.66666666667)</f>
        <v>43871.66667</v>
      </c>
      <c r="H31" s="11">
        <f>IFERROR(__xludf.DUMMYFUNCTION("""COMPUTED_VALUE"""),80.39)</f>
        <v>80.39</v>
      </c>
    </row>
    <row r="32" ht="15.75" customHeight="1">
      <c r="A32" s="10">
        <f>IFERROR(__xludf.DUMMYFUNCTION("""COMPUTED_VALUE"""),43872.66666666667)</f>
        <v>43872.66667</v>
      </c>
      <c r="B32" s="11">
        <f>IFERROR(__xludf.DUMMYFUNCTION("""COMPUTED_VALUE"""),59.59)</f>
        <v>59.59</v>
      </c>
      <c r="C32" s="10">
        <f>IFERROR(__xludf.DUMMYFUNCTION("""COMPUTED_VALUE"""),43872.66666666667)</f>
        <v>43872.66667</v>
      </c>
      <c r="D32" s="11">
        <f>IFERROR(__xludf.DUMMYFUNCTION("""COMPUTED_VALUE"""),184.44)</f>
        <v>184.44</v>
      </c>
      <c r="E32" s="10">
        <f>IFERROR(__xludf.DUMMYFUNCTION("""COMPUTED_VALUE"""),43872.66666666667)</f>
        <v>43872.66667</v>
      </c>
      <c r="F32" s="11">
        <f>IFERROR(__xludf.DUMMYFUNCTION("""COMPUTED_VALUE"""),51.63)</f>
        <v>51.63</v>
      </c>
      <c r="G32" s="12">
        <f>IFERROR(__xludf.DUMMYFUNCTION("""COMPUTED_VALUE"""),43872.66666666667)</f>
        <v>43872.66667</v>
      </c>
      <c r="H32" s="11">
        <f>IFERROR(__xludf.DUMMYFUNCTION("""COMPUTED_VALUE"""),79.9)</f>
        <v>79.9</v>
      </c>
    </row>
    <row r="33" ht="15.75" customHeight="1">
      <c r="A33" s="10">
        <f>IFERROR(__xludf.DUMMYFUNCTION("""COMPUTED_VALUE"""),43873.66666666667)</f>
        <v>43873.66667</v>
      </c>
      <c r="B33" s="11">
        <f>IFERROR(__xludf.DUMMYFUNCTION("""COMPUTED_VALUE"""),59.41)</f>
        <v>59.41</v>
      </c>
      <c r="C33" s="10">
        <f>IFERROR(__xludf.DUMMYFUNCTION("""COMPUTED_VALUE"""),43873.66666666667)</f>
        <v>43873.66667</v>
      </c>
      <c r="D33" s="11">
        <f>IFERROR(__xludf.DUMMYFUNCTION("""COMPUTED_VALUE"""),184.71)</f>
        <v>184.71</v>
      </c>
      <c r="E33" s="10">
        <f>IFERROR(__xludf.DUMMYFUNCTION("""COMPUTED_VALUE"""),43873.66666666667)</f>
        <v>43873.66667</v>
      </c>
      <c r="F33" s="11">
        <f>IFERROR(__xludf.DUMMYFUNCTION("""COMPUTED_VALUE"""),51.15)</f>
        <v>51.15</v>
      </c>
      <c r="G33" s="12">
        <f>IFERROR(__xludf.DUMMYFUNCTION("""COMPUTED_VALUE"""),43873.66666666667)</f>
        <v>43873.66667</v>
      </c>
      <c r="H33" s="11">
        <f>IFERROR(__xludf.DUMMYFUNCTION("""COMPUTED_VALUE"""),81.8)</f>
        <v>81.8</v>
      </c>
    </row>
    <row r="34" ht="15.75" customHeight="1">
      <c r="A34" s="10">
        <f>IFERROR(__xludf.DUMMYFUNCTION("""COMPUTED_VALUE"""),43874.66666666667)</f>
        <v>43874.66667</v>
      </c>
      <c r="B34" s="11">
        <f>IFERROR(__xludf.DUMMYFUNCTION("""COMPUTED_VALUE"""),59.61)</f>
        <v>59.61</v>
      </c>
      <c r="C34" s="10">
        <f>IFERROR(__xludf.DUMMYFUNCTION("""COMPUTED_VALUE"""),43874.66666666667)</f>
        <v>43874.66667</v>
      </c>
      <c r="D34" s="11">
        <f>IFERROR(__xludf.DUMMYFUNCTION("""COMPUTED_VALUE"""),183.71)</f>
        <v>183.71</v>
      </c>
      <c r="E34" s="10">
        <f>IFERROR(__xludf.DUMMYFUNCTION("""COMPUTED_VALUE"""),43874.66666666667)</f>
        <v>43874.66667</v>
      </c>
      <c r="F34" s="11">
        <f>IFERROR(__xludf.DUMMYFUNCTION("""COMPUTED_VALUE"""),53.6)</f>
        <v>53.6</v>
      </c>
      <c r="G34" s="12">
        <f>IFERROR(__xludf.DUMMYFUNCTION("""COMPUTED_VALUE"""),43874.66666666667)</f>
        <v>43874.66667</v>
      </c>
      <c r="H34" s="11">
        <f>IFERROR(__xludf.DUMMYFUNCTION("""COMPUTED_VALUE"""),81.22)</f>
        <v>81.22</v>
      </c>
    </row>
    <row r="35" ht="15.75" customHeight="1">
      <c r="A35" s="10">
        <f>IFERROR(__xludf.DUMMYFUNCTION("""COMPUTED_VALUE"""),43875.66666666667)</f>
        <v>43875.66667</v>
      </c>
      <c r="B35" s="11">
        <f>IFERROR(__xludf.DUMMYFUNCTION("""COMPUTED_VALUE"""),59.95)</f>
        <v>59.95</v>
      </c>
      <c r="C35" s="10">
        <f>IFERROR(__xludf.DUMMYFUNCTION("""COMPUTED_VALUE"""),43875.66666666667)</f>
        <v>43875.66667</v>
      </c>
      <c r="D35" s="11">
        <f>IFERROR(__xludf.DUMMYFUNCTION("""COMPUTED_VALUE"""),185.35)</f>
        <v>185.35</v>
      </c>
      <c r="E35" s="10">
        <f>IFERROR(__xludf.DUMMYFUNCTION("""COMPUTED_VALUE"""),43875.66666666667)</f>
        <v>43875.66667</v>
      </c>
      <c r="F35" s="11">
        <f>IFERROR(__xludf.DUMMYFUNCTION("""COMPUTED_VALUE"""),53.34)</f>
        <v>53.34</v>
      </c>
      <c r="G35" s="12">
        <f>IFERROR(__xludf.DUMMYFUNCTION("""COMPUTED_VALUE"""),43875.66666666667)</f>
        <v>43875.66667</v>
      </c>
      <c r="H35" s="11">
        <f>IFERROR(__xludf.DUMMYFUNCTION("""COMPUTED_VALUE"""),81.24)</f>
        <v>81.24</v>
      </c>
    </row>
    <row r="36" ht="15.75" customHeight="1">
      <c r="A36" s="10">
        <f>IFERROR(__xludf.DUMMYFUNCTION("""COMPUTED_VALUE"""),43879.66666666667)</f>
        <v>43879.66667</v>
      </c>
      <c r="B36" s="11">
        <f>IFERROR(__xludf.DUMMYFUNCTION("""COMPUTED_VALUE"""),59.53)</f>
        <v>59.53</v>
      </c>
      <c r="C36" s="10">
        <f>IFERROR(__xludf.DUMMYFUNCTION("""COMPUTED_VALUE"""),43879.66666666667)</f>
        <v>43879.66667</v>
      </c>
      <c r="D36" s="11">
        <f>IFERROR(__xludf.DUMMYFUNCTION("""COMPUTED_VALUE"""),187.23)</f>
        <v>187.23</v>
      </c>
      <c r="E36" s="10">
        <f>IFERROR(__xludf.DUMMYFUNCTION("""COMPUTED_VALUE"""),43879.66666666667)</f>
        <v>43879.66667</v>
      </c>
      <c r="F36" s="11">
        <f>IFERROR(__xludf.DUMMYFUNCTION("""COMPUTED_VALUE"""),57.23)</f>
        <v>57.23</v>
      </c>
      <c r="G36" s="12">
        <f>IFERROR(__xludf.DUMMYFUNCTION("""COMPUTED_VALUE"""),43879.66666666667)</f>
        <v>43879.66667</v>
      </c>
      <c r="H36" s="11">
        <f>IFERROR(__xludf.DUMMYFUNCTION("""COMPUTED_VALUE"""),79.75)</f>
        <v>79.75</v>
      </c>
    </row>
    <row r="37" ht="15.75" customHeight="1">
      <c r="A37" s="10">
        <f>IFERROR(__xludf.DUMMYFUNCTION("""COMPUTED_VALUE"""),43880.66666666667)</f>
        <v>43880.66667</v>
      </c>
      <c r="B37" s="11">
        <f>IFERROR(__xludf.DUMMYFUNCTION("""COMPUTED_VALUE"""),59.77)</f>
        <v>59.77</v>
      </c>
      <c r="C37" s="10">
        <f>IFERROR(__xludf.DUMMYFUNCTION("""COMPUTED_VALUE"""),43880.66666666667)</f>
        <v>43880.66667</v>
      </c>
      <c r="D37" s="11">
        <f>IFERROR(__xludf.DUMMYFUNCTION("""COMPUTED_VALUE"""),187.28)</f>
        <v>187.28</v>
      </c>
      <c r="E37" s="10">
        <f>IFERROR(__xludf.DUMMYFUNCTION("""COMPUTED_VALUE"""),43880.66666666667)</f>
        <v>43880.66667</v>
      </c>
      <c r="F37" s="11">
        <f>IFERROR(__xludf.DUMMYFUNCTION("""COMPUTED_VALUE"""),61.16)</f>
        <v>61.16</v>
      </c>
      <c r="G37" s="12">
        <f>IFERROR(__xludf.DUMMYFUNCTION("""COMPUTED_VALUE"""),43880.66666666667)</f>
        <v>43880.66667</v>
      </c>
      <c r="H37" s="11">
        <f>IFERROR(__xludf.DUMMYFUNCTION("""COMPUTED_VALUE"""),80.91)</f>
        <v>80.91</v>
      </c>
    </row>
    <row r="38" ht="15.75" customHeight="1">
      <c r="A38" s="10">
        <f>IFERROR(__xludf.DUMMYFUNCTION("""COMPUTED_VALUE"""),43881.66666666667)</f>
        <v>43881.66667</v>
      </c>
      <c r="B38" s="11">
        <f>IFERROR(__xludf.DUMMYFUNCTION("""COMPUTED_VALUE"""),59.72)</f>
        <v>59.72</v>
      </c>
      <c r="C38" s="10">
        <f>IFERROR(__xludf.DUMMYFUNCTION("""COMPUTED_VALUE"""),43881.66666666667)</f>
        <v>43881.66667</v>
      </c>
      <c r="D38" s="11">
        <f>IFERROR(__xludf.DUMMYFUNCTION("""COMPUTED_VALUE"""),184.42)</f>
        <v>184.42</v>
      </c>
      <c r="E38" s="10">
        <f>IFERROR(__xludf.DUMMYFUNCTION("""COMPUTED_VALUE"""),43881.66666666667)</f>
        <v>43881.66667</v>
      </c>
      <c r="F38" s="11">
        <f>IFERROR(__xludf.DUMMYFUNCTION("""COMPUTED_VALUE"""),59.96)</f>
        <v>59.96</v>
      </c>
      <c r="G38" s="12">
        <f>IFERROR(__xludf.DUMMYFUNCTION("""COMPUTED_VALUE"""),43881.66666666667)</f>
        <v>43881.66667</v>
      </c>
      <c r="H38" s="11">
        <f>IFERROR(__xludf.DUMMYFUNCTION("""COMPUTED_VALUE"""),80.08)</f>
        <v>80.08</v>
      </c>
    </row>
    <row r="39" ht="15.75" customHeight="1">
      <c r="A39" s="10">
        <f>IFERROR(__xludf.DUMMYFUNCTION("""COMPUTED_VALUE"""),43882.66666666667)</f>
        <v>43882.66667</v>
      </c>
      <c r="B39" s="11">
        <f>IFERROR(__xludf.DUMMYFUNCTION("""COMPUTED_VALUE"""),60.13)</f>
        <v>60.13</v>
      </c>
      <c r="C39" s="10">
        <f>IFERROR(__xludf.DUMMYFUNCTION("""COMPUTED_VALUE"""),43882.66666666667)</f>
        <v>43882.66667</v>
      </c>
      <c r="D39" s="11">
        <f>IFERROR(__xludf.DUMMYFUNCTION("""COMPUTED_VALUE"""),178.59)</f>
        <v>178.59</v>
      </c>
      <c r="E39" s="10">
        <f>IFERROR(__xludf.DUMMYFUNCTION("""COMPUTED_VALUE"""),43882.66666666667)</f>
        <v>43882.66667</v>
      </c>
      <c r="F39" s="11">
        <f>IFERROR(__xludf.DUMMYFUNCTION("""COMPUTED_VALUE"""),60.07)</f>
        <v>60.07</v>
      </c>
      <c r="G39" s="12">
        <f>IFERROR(__xludf.DUMMYFUNCTION("""COMPUTED_VALUE"""),43882.66666666667)</f>
        <v>43882.66667</v>
      </c>
      <c r="H39" s="11">
        <f>IFERROR(__xludf.DUMMYFUNCTION("""COMPUTED_VALUE"""),78.26)</f>
        <v>78.26</v>
      </c>
    </row>
    <row r="40" ht="15.75" customHeight="1">
      <c r="A40" s="10">
        <f>IFERROR(__xludf.DUMMYFUNCTION("""COMPUTED_VALUE"""),43885.66666666667)</f>
        <v>43885.66667</v>
      </c>
      <c r="B40" s="11">
        <f>IFERROR(__xludf.DUMMYFUNCTION("""COMPUTED_VALUE"""),58.65)</f>
        <v>58.65</v>
      </c>
      <c r="C40" s="10">
        <f>IFERROR(__xludf.DUMMYFUNCTION("""COMPUTED_VALUE"""),43885.66666666667)</f>
        <v>43885.66667</v>
      </c>
      <c r="D40" s="11">
        <f>IFERROR(__xludf.DUMMYFUNCTION("""COMPUTED_VALUE"""),170.89)</f>
        <v>170.89</v>
      </c>
      <c r="E40" s="10">
        <f>IFERROR(__xludf.DUMMYFUNCTION("""COMPUTED_VALUE"""),43885.66666666667)</f>
        <v>43885.66667</v>
      </c>
      <c r="F40" s="11">
        <f>IFERROR(__xludf.DUMMYFUNCTION("""COMPUTED_VALUE"""),55.59)</f>
        <v>55.59</v>
      </c>
      <c r="G40" s="12">
        <f>IFERROR(__xludf.DUMMYFUNCTION("""COMPUTED_VALUE"""),43885.66666666667)</f>
        <v>43885.66667</v>
      </c>
      <c r="H40" s="11">
        <f>IFERROR(__xludf.DUMMYFUNCTION("""COMPUTED_VALUE"""),74.55)</f>
        <v>74.55</v>
      </c>
    </row>
    <row r="41" ht="15.75" customHeight="1">
      <c r="A41" s="10">
        <f>IFERROR(__xludf.DUMMYFUNCTION("""COMPUTED_VALUE"""),43886.66666666667)</f>
        <v>43886.66667</v>
      </c>
      <c r="B41" s="11">
        <f>IFERROR(__xludf.DUMMYFUNCTION("""COMPUTED_VALUE"""),57.82)</f>
        <v>57.82</v>
      </c>
      <c r="C41" s="10">
        <f>IFERROR(__xludf.DUMMYFUNCTION("""COMPUTED_VALUE"""),43886.66666666667)</f>
        <v>43886.66667</v>
      </c>
      <c r="D41" s="11">
        <f>IFERROR(__xludf.DUMMYFUNCTION("""COMPUTED_VALUE"""),168.07)</f>
        <v>168.07</v>
      </c>
      <c r="E41" s="10">
        <f>IFERROR(__xludf.DUMMYFUNCTION("""COMPUTED_VALUE"""),43886.66666666667)</f>
        <v>43886.66667</v>
      </c>
      <c r="F41" s="11">
        <f>IFERROR(__xludf.DUMMYFUNCTION("""COMPUTED_VALUE"""),53.33)</f>
        <v>53.33</v>
      </c>
      <c r="G41" s="12">
        <f>IFERROR(__xludf.DUMMYFUNCTION("""COMPUTED_VALUE"""),43886.66666666667)</f>
        <v>43886.66667</v>
      </c>
      <c r="H41" s="11">
        <f>IFERROR(__xludf.DUMMYFUNCTION("""COMPUTED_VALUE"""),72.02)</f>
        <v>72.02</v>
      </c>
    </row>
    <row r="42" ht="15.75" customHeight="1">
      <c r="A42" s="10">
        <f>IFERROR(__xludf.DUMMYFUNCTION("""COMPUTED_VALUE"""),43887.66666666667)</f>
        <v>43887.66667</v>
      </c>
      <c r="B42" s="11">
        <f>IFERROR(__xludf.DUMMYFUNCTION("""COMPUTED_VALUE"""),57.6)</f>
        <v>57.6</v>
      </c>
      <c r="C42" s="10">
        <f>IFERROR(__xludf.DUMMYFUNCTION("""COMPUTED_VALUE"""),43887.66666666667)</f>
        <v>43887.66667</v>
      </c>
      <c r="D42" s="11">
        <f>IFERROR(__xludf.DUMMYFUNCTION("""COMPUTED_VALUE"""),170.17)</f>
        <v>170.17</v>
      </c>
      <c r="E42" s="10">
        <f>IFERROR(__xludf.DUMMYFUNCTION("""COMPUTED_VALUE"""),43887.66666666667)</f>
        <v>43887.66667</v>
      </c>
      <c r="F42" s="11">
        <f>IFERROR(__xludf.DUMMYFUNCTION("""COMPUTED_VALUE"""),51.92)</f>
        <v>51.92</v>
      </c>
      <c r="G42" s="12">
        <f>IFERROR(__xludf.DUMMYFUNCTION("""COMPUTED_VALUE"""),43887.66666666667)</f>
        <v>43887.66667</v>
      </c>
      <c r="H42" s="11">
        <f>IFERROR(__xludf.DUMMYFUNCTION("""COMPUTED_VALUE"""),73.16)</f>
        <v>73.16</v>
      </c>
    </row>
    <row r="43" ht="15.75" customHeight="1">
      <c r="A43" s="10">
        <f>IFERROR(__xludf.DUMMYFUNCTION("""COMPUTED_VALUE"""),43888.66666666667)</f>
        <v>43888.66667</v>
      </c>
      <c r="B43" s="11">
        <f>IFERROR(__xludf.DUMMYFUNCTION("""COMPUTED_VALUE"""),54.93)</f>
        <v>54.93</v>
      </c>
      <c r="C43" s="10">
        <f>IFERROR(__xludf.DUMMYFUNCTION("""COMPUTED_VALUE"""),43888.66666666667)</f>
        <v>43888.66667</v>
      </c>
      <c r="D43" s="11">
        <f>IFERROR(__xludf.DUMMYFUNCTION("""COMPUTED_VALUE"""),158.18)</f>
        <v>158.18</v>
      </c>
      <c r="E43" s="10">
        <f>IFERROR(__xludf.DUMMYFUNCTION("""COMPUTED_VALUE"""),43888.66666666667)</f>
        <v>43888.66667</v>
      </c>
      <c r="F43" s="11">
        <f>IFERROR(__xludf.DUMMYFUNCTION("""COMPUTED_VALUE"""),45.27)</f>
        <v>45.27</v>
      </c>
      <c r="G43" s="12">
        <f>IFERROR(__xludf.DUMMYFUNCTION("""COMPUTED_VALUE"""),43888.66666666667)</f>
        <v>43888.66667</v>
      </c>
      <c r="H43" s="11">
        <f>IFERROR(__xludf.DUMMYFUNCTION("""COMPUTED_VALUE"""),68.38)</f>
        <v>68.38</v>
      </c>
    </row>
    <row r="44" ht="15.75" customHeight="1">
      <c r="A44" s="10">
        <f>IFERROR(__xludf.DUMMYFUNCTION("""COMPUTED_VALUE"""),43889.66666666667)</f>
        <v>43889.66667</v>
      </c>
      <c r="B44" s="11">
        <f>IFERROR(__xludf.DUMMYFUNCTION("""COMPUTED_VALUE"""),53.49)</f>
        <v>53.49</v>
      </c>
      <c r="C44" s="10">
        <f>IFERROR(__xludf.DUMMYFUNCTION("""COMPUTED_VALUE"""),43889.66666666667)</f>
        <v>43889.66667</v>
      </c>
      <c r="D44" s="11">
        <f>IFERROR(__xludf.DUMMYFUNCTION("""COMPUTED_VALUE"""),162.01)</f>
        <v>162.01</v>
      </c>
      <c r="E44" s="10">
        <f>IFERROR(__xludf.DUMMYFUNCTION("""COMPUTED_VALUE"""),43889.66666666667)</f>
        <v>43889.66667</v>
      </c>
      <c r="F44" s="11">
        <f>IFERROR(__xludf.DUMMYFUNCTION("""COMPUTED_VALUE"""),44.53)</f>
        <v>44.53</v>
      </c>
      <c r="G44" s="12">
        <f>IFERROR(__xludf.DUMMYFUNCTION("""COMPUTED_VALUE"""),43889.66666666667)</f>
        <v>43889.66667</v>
      </c>
      <c r="H44" s="11">
        <f>IFERROR(__xludf.DUMMYFUNCTION("""COMPUTED_VALUE"""),68.34)</f>
        <v>68.34</v>
      </c>
    </row>
    <row r="45" ht="15.75" customHeight="1">
      <c r="A45" s="10">
        <f>IFERROR(__xludf.DUMMYFUNCTION("""COMPUTED_VALUE"""),43892.66666666667)</f>
        <v>43892.66667</v>
      </c>
      <c r="B45" s="11">
        <f>IFERROR(__xludf.DUMMYFUNCTION("""COMPUTED_VALUE"""),55.92)</f>
        <v>55.92</v>
      </c>
      <c r="C45" s="10">
        <f>IFERROR(__xludf.DUMMYFUNCTION("""COMPUTED_VALUE"""),43892.66666666667)</f>
        <v>43892.66667</v>
      </c>
      <c r="D45" s="11">
        <f>IFERROR(__xludf.DUMMYFUNCTION("""COMPUTED_VALUE"""),172.79)</f>
        <v>172.79</v>
      </c>
      <c r="E45" s="10">
        <f>IFERROR(__xludf.DUMMYFUNCTION("""COMPUTED_VALUE"""),43892.66666666667)</f>
        <v>43892.66667</v>
      </c>
      <c r="F45" s="11">
        <f>IFERROR(__xludf.DUMMYFUNCTION("""COMPUTED_VALUE"""),49.57)</f>
        <v>49.57</v>
      </c>
      <c r="G45" s="12">
        <f>IFERROR(__xludf.DUMMYFUNCTION("""COMPUTED_VALUE"""),43892.66666666667)</f>
        <v>43892.66667</v>
      </c>
      <c r="H45" s="11">
        <f>IFERROR(__xludf.DUMMYFUNCTION("""COMPUTED_VALUE"""),74.7)</f>
        <v>74.7</v>
      </c>
    </row>
    <row r="46" ht="15.75" customHeight="1">
      <c r="A46" s="10">
        <f>IFERROR(__xludf.DUMMYFUNCTION("""COMPUTED_VALUE"""),43893.66666666667)</f>
        <v>43893.66667</v>
      </c>
      <c r="B46" s="11">
        <f>IFERROR(__xludf.DUMMYFUNCTION("""COMPUTED_VALUE"""),56.06)</f>
        <v>56.06</v>
      </c>
      <c r="C46" s="10">
        <f>IFERROR(__xludf.DUMMYFUNCTION("""COMPUTED_VALUE"""),43893.66666666667)</f>
        <v>43893.66667</v>
      </c>
      <c r="D46" s="11">
        <f>IFERROR(__xludf.DUMMYFUNCTION("""COMPUTED_VALUE"""),164.51)</f>
        <v>164.51</v>
      </c>
      <c r="E46" s="10">
        <f>IFERROR(__xludf.DUMMYFUNCTION("""COMPUTED_VALUE"""),43893.66666666667)</f>
        <v>43893.66667</v>
      </c>
      <c r="F46" s="11">
        <f>IFERROR(__xludf.DUMMYFUNCTION("""COMPUTED_VALUE"""),49.7)</f>
        <v>49.7</v>
      </c>
      <c r="G46" s="12">
        <f>IFERROR(__xludf.DUMMYFUNCTION("""COMPUTED_VALUE"""),43893.66666666667)</f>
        <v>43893.66667</v>
      </c>
      <c r="H46" s="11">
        <f>IFERROR(__xludf.DUMMYFUNCTION("""COMPUTED_VALUE"""),72.33)</f>
        <v>72.33</v>
      </c>
    </row>
    <row r="47" ht="15.75" customHeight="1">
      <c r="A47" s="10">
        <f>IFERROR(__xludf.DUMMYFUNCTION("""COMPUTED_VALUE"""),43894.66666666667)</f>
        <v>43894.66667</v>
      </c>
      <c r="B47" s="11">
        <f>IFERROR(__xludf.DUMMYFUNCTION("""COMPUTED_VALUE"""),58.92)</f>
        <v>58.92</v>
      </c>
      <c r="C47" s="10">
        <f>IFERROR(__xludf.DUMMYFUNCTION("""COMPUTED_VALUE"""),43894.66666666667)</f>
        <v>43894.66667</v>
      </c>
      <c r="D47" s="11">
        <f>IFERROR(__xludf.DUMMYFUNCTION("""COMPUTED_VALUE"""),170.55)</f>
        <v>170.55</v>
      </c>
      <c r="E47" s="10">
        <f>IFERROR(__xludf.DUMMYFUNCTION("""COMPUTED_VALUE"""),43894.66666666667)</f>
        <v>43894.66667</v>
      </c>
      <c r="F47" s="11">
        <f>IFERROR(__xludf.DUMMYFUNCTION("""COMPUTED_VALUE"""),49.97)</f>
        <v>49.97</v>
      </c>
      <c r="G47" s="12">
        <f>IFERROR(__xludf.DUMMYFUNCTION("""COMPUTED_VALUE"""),43894.66666666667)</f>
        <v>43894.66667</v>
      </c>
      <c r="H47" s="11">
        <f>IFERROR(__xludf.DUMMYFUNCTION("""COMPUTED_VALUE"""),75.69)</f>
        <v>75.69</v>
      </c>
    </row>
    <row r="48" ht="15.75" customHeight="1">
      <c r="A48" s="10">
        <f>IFERROR(__xludf.DUMMYFUNCTION("""COMPUTED_VALUE"""),43895.66666666667)</f>
        <v>43895.66667</v>
      </c>
      <c r="B48" s="11">
        <f>IFERROR(__xludf.DUMMYFUNCTION("""COMPUTED_VALUE"""),56.74)</f>
        <v>56.74</v>
      </c>
      <c r="C48" s="10">
        <f>IFERROR(__xludf.DUMMYFUNCTION("""COMPUTED_VALUE"""),43895.66666666667)</f>
        <v>43895.66667</v>
      </c>
      <c r="D48" s="11">
        <f>IFERROR(__xludf.DUMMYFUNCTION("""COMPUTED_VALUE"""),166.27)</f>
        <v>166.27</v>
      </c>
      <c r="E48" s="10">
        <f>IFERROR(__xludf.DUMMYFUNCTION("""COMPUTED_VALUE"""),43895.66666666667)</f>
        <v>43895.66667</v>
      </c>
      <c r="F48" s="11">
        <f>IFERROR(__xludf.DUMMYFUNCTION("""COMPUTED_VALUE"""),48.3)</f>
        <v>48.3</v>
      </c>
      <c r="G48" s="12">
        <f>IFERROR(__xludf.DUMMYFUNCTION("""COMPUTED_VALUE"""),43895.66666666667)</f>
        <v>43895.66667</v>
      </c>
      <c r="H48" s="11">
        <f>IFERROR(__xludf.DUMMYFUNCTION("""COMPUTED_VALUE"""),73.23)</f>
        <v>73.23</v>
      </c>
    </row>
    <row r="49" ht="15.75" customHeight="1">
      <c r="A49" s="10">
        <f>IFERROR(__xludf.DUMMYFUNCTION("""COMPUTED_VALUE"""),43896.66666666667)</f>
        <v>43896.66667</v>
      </c>
      <c r="B49" s="11">
        <f>IFERROR(__xludf.DUMMYFUNCTION("""COMPUTED_VALUE"""),55.26)</f>
        <v>55.26</v>
      </c>
      <c r="C49" s="10">
        <f>IFERROR(__xludf.DUMMYFUNCTION("""COMPUTED_VALUE"""),43896.66666666667)</f>
        <v>43896.66667</v>
      </c>
      <c r="D49" s="11">
        <f>IFERROR(__xludf.DUMMYFUNCTION("""COMPUTED_VALUE"""),161.57)</f>
        <v>161.57</v>
      </c>
      <c r="E49" s="10">
        <f>IFERROR(__xludf.DUMMYFUNCTION("""COMPUTED_VALUE"""),43896.66666666667)</f>
        <v>43896.66667</v>
      </c>
      <c r="F49" s="11">
        <f>IFERROR(__xludf.DUMMYFUNCTION("""COMPUTED_VALUE"""),46.9)</f>
        <v>46.9</v>
      </c>
      <c r="G49" s="12">
        <f>IFERROR(__xludf.DUMMYFUNCTION("""COMPUTED_VALUE"""),43896.66666666667)</f>
        <v>43896.66667</v>
      </c>
      <c r="H49" s="11">
        <f>IFERROR(__xludf.DUMMYFUNCTION("""COMPUTED_VALUE"""),72.26)</f>
        <v>72.26</v>
      </c>
    </row>
    <row r="50" ht="15.75" customHeight="1">
      <c r="A50" s="10">
        <f>IFERROR(__xludf.DUMMYFUNCTION("""COMPUTED_VALUE"""),43899.66666666667)</f>
        <v>43899.66667</v>
      </c>
      <c r="B50" s="11">
        <f>IFERROR(__xludf.DUMMYFUNCTION("""COMPUTED_VALUE"""),51.86)</f>
        <v>51.86</v>
      </c>
      <c r="C50" s="10">
        <f>IFERROR(__xludf.DUMMYFUNCTION("""COMPUTED_VALUE"""),43899.66666666667)</f>
        <v>43899.66667</v>
      </c>
      <c r="D50" s="11">
        <f>IFERROR(__xludf.DUMMYFUNCTION("""COMPUTED_VALUE"""),150.62)</f>
        <v>150.62</v>
      </c>
      <c r="E50" s="10">
        <f>IFERROR(__xludf.DUMMYFUNCTION("""COMPUTED_VALUE"""),43899.66666666667)</f>
        <v>43899.66667</v>
      </c>
      <c r="F50" s="11">
        <f>IFERROR(__xludf.DUMMYFUNCTION("""COMPUTED_VALUE"""),40.53)</f>
        <v>40.53</v>
      </c>
      <c r="G50" s="12">
        <f>IFERROR(__xludf.DUMMYFUNCTION("""COMPUTED_VALUE"""),43899.66666666667)</f>
        <v>43899.66667</v>
      </c>
      <c r="H50" s="11">
        <f>IFERROR(__xludf.DUMMYFUNCTION("""COMPUTED_VALUE"""),66.54)</f>
        <v>66.54</v>
      </c>
    </row>
    <row r="51" ht="15.75" customHeight="1">
      <c r="A51" s="10">
        <f>IFERROR(__xludf.DUMMYFUNCTION("""COMPUTED_VALUE"""),43900.66666666667)</f>
        <v>43900.66667</v>
      </c>
      <c r="B51" s="11">
        <f>IFERROR(__xludf.DUMMYFUNCTION("""COMPUTED_VALUE"""),53.66)</f>
        <v>53.66</v>
      </c>
      <c r="C51" s="10">
        <f>IFERROR(__xludf.DUMMYFUNCTION("""COMPUTED_VALUE"""),43900.66666666667)</f>
        <v>43900.66667</v>
      </c>
      <c r="D51" s="11">
        <f>IFERROR(__xludf.DUMMYFUNCTION("""COMPUTED_VALUE"""),160.92)</f>
        <v>160.92</v>
      </c>
      <c r="E51" s="10">
        <f>IFERROR(__xludf.DUMMYFUNCTION("""COMPUTED_VALUE"""),43900.66666666667)</f>
        <v>43900.66667</v>
      </c>
      <c r="F51" s="11">
        <f>IFERROR(__xludf.DUMMYFUNCTION("""COMPUTED_VALUE"""),43.02)</f>
        <v>43.02</v>
      </c>
      <c r="G51" s="12">
        <f>IFERROR(__xludf.DUMMYFUNCTION("""COMPUTED_VALUE"""),43900.66666666667)</f>
        <v>43900.66667</v>
      </c>
      <c r="H51" s="11">
        <f>IFERROR(__xludf.DUMMYFUNCTION("""COMPUTED_VALUE"""),71.33)</f>
        <v>71.33</v>
      </c>
    </row>
    <row r="52" ht="15.75" customHeight="1">
      <c r="A52" s="10">
        <f>IFERROR(__xludf.DUMMYFUNCTION("""COMPUTED_VALUE"""),43901.66666666667)</f>
        <v>43901.66667</v>
      </c>
      <c r="B52" s="11">
        <f>IFERROR(__xludf.DUMMYFUNCTION("""COMPUTED_VALUE"""),52.21)</f>
        <v>52.21</v>
      </c>
      <c r="C52" s="10">
        <f>IFERROR(__xludf.DUMMYFUNCTION("""COMPUTED_VALUE"""),43901.66666666667)</f>
        <v>43901.66667</v>
      </c>
      <c r="D52" s="11">
        <f>IFERROR(__xludf.DUMMYFUNCTION("""COMPUTED_VALUE"""),153.63)</f>
        <v>153.63</v>
      </c>
      <c r="E52" s="10">
        <f>IFERROR(__xludf.DUMMYFUNCTION("""COMPUTED_VALUE"""),43901.66666666667)</f>
        <v>43901.66667</v>
      </c>
      <c r="F52" s="11">
        <f>IFERROR(__xludf.DUMMYFUNCTION("""COMPUTED_VALUE"""),42.28)</f>
        <v>42.28</v>
      </c>
      <c r="G52" s="12">
        <f>IFERROR(__xludf.DUMMYFUNCTION("""COMPUTED_VALUE"""),43901.66666666667)</f>
        <v>43901.66667</v>
      </c>
      <c r="H52" s="11">
        <f>IFERROR(__xludf.DUMMYFUNCTION("""COMPUTED_VALUE"""),68.86)</f>
        <v>68.86</v>
      </c>
    </row>
    <row r="53" ht="15.75" customHeight="1">
      <c r="A53" s="10">
        <f>IFERROR(__xludf.DUMMYFUNCTION("""COMPUTED_VALUE"""),43902.66666666667)</f>
        <v>43902.66667</v>
      </c>
      <c r="B53" s="11">
        <f>IFERROR(__xludf.DUMMYFUNCTION("""COMPUTED_VALUE"""),47.16)</f>
        <v>47.16</v>
      </c>
      <c r="C53" s="10">
        <f>IFERROR(__xludf.DUMMYFUNCTION("""COMPUTED_VALUE"""),43902.66666666667)</f>
        <v>43902.66667</v>
      </c>
      <c r="D53" s="11">
        <f>IFERROR(__xludf.DUMMYFUNCTION("""COMPUTED_VALUE"""),139.06)</f>
        <v>139.06</v>
      </c>
      <c r="E53" s="10">
        <f>IFERROR(__xludf.DUMMYFUNCTION("""COMPUTED_VALUE"""),43902.66666666667)</f>
        <v>43902.66667</v>
      </c>
      <c r="F53" s="11">
        <f>IFERROR(__xludf.DUMMYFUNCTION("""COMPUTED_VALUE"""),37.37)</f>
        <v>37.37</v>
      </c>
      <c r="G53" s="12">
        <f>IFERROR(__xludf.DUMMYFUNCTION("""COMPUTED_VALUE"""),43902.66666666667)</f>
        <v>43902.66667</v>
      </c>
      <c r="H53" s="11">
        <f>IFERROR(__xludf.DUMMYFUNCTION("""COMPUTED_VALUE"""),62.06)</f>
        <v>62.06</v>
      </c>
    </row>
    <row r="54" ht="15.75" customHeight="1">
      <c r="A54" s="10">
        <f>IFERROR(__xludf.DUMMYFUNCTION("""COMPUTED_VALUE"""),43903.66666666667)</f>
        <v>43903.66667</v>
      </c>
      <c r="B54" s="11">
        <f>IFERROR(__xludf.DUMMYFUNCTION("""COMPUTED_VALUE"""),48.47)</f>
        <v>48.47</v>
      </c>
      <c r="C54" s="10">
        <f>IFERROR(__xludf.DUMMYFUNCTION("""COMPUTED_VALUE"""),43903.66666666667)</f>
        <v>43903.66667</v>
      </c>
      <c r="D54" s="11">
        <f>IFERROR(__xludf.DUMMYFUNCTION("""COMPUTED_VALUE"""),158.83)</f>
        <v>158.83</v>
      </c>
      <c r="E54" s="10">
        <f>IFERROR(__xludf.DUMMYFUNCTION("""COMPUTED_VALUE"""),43903.66666666667)</f>
        <v>43903.66667</v>
      </c>
      <c r="F54" s="11">
        <f>IFERROR(__xludf.DUMMYFUNCTION("""COMPUTED_VALUE"""),36.44)</f>
        <v>36.44</v>
      </c>
      <c r="G54" s="12">
        <f>IFERROR(__xludf.DUMMYFUNCTION("""COMPUTED_VALUE"""),43903.66666666667)</f>
        <v>43903.66667</v>
      </c>
      <c r="H54" s="11">
        <f>IFERROR(__xludf.DUMMYFUNCTION("""COMPUTED_VALUE"""),69.49)</f>
        <v>69.49</v>
      </c>
    </row>
    <row r="55" ht="15.75" customHeight="1">
      <c r="A55" s="10">
        <f>IFERROR(__xludf.DUMMYFUNCTION("""COMPUTED_VALUE"""),43906.66666666667)</f>
        <v>43906.66667</v>
      </c>
      <c r="B55" s="11">
        <f>IFERROR(__xludf.DUMMYFUNCTION("""COMPUTED_VALUE"""),45.26)</f>
        <v>45.26</v>
      </c>
      <c r="C55" s="10">
        <f>IFERROR(__xludf.DUMMYFUNCTION("""COMPUTED_VALUE"""),43906.66666666667)</f>
        <v>43906.66667</v>
      </c>
      <c r="D55" s="11">
        <f>IFERROR(__xludf.DUMMYFUNCTION("""COMPUTED_VALUE"""),135.42)</f>
        <v>135.42</v>
      </c>
      <c r="E55" s="10">
        <f>IFERROR(__xludf.DUMMYFUNCTION("""COMPUTED_VALUE"""),43906.66666666667)</f>
        <v>43906.66667</v>
      </c>
      <c r="F55" s="11">
        <f>IFERROR(__xludf.DUMMYFUNCTION("""COMPUTED_VALUE"""),29.67)</f>
        <v>29.67</v>
      </c>
      <c r="G55" s="12">
        <f>IFERROR(__xludf.DUMMYFUNCTION("""COMPUTED_VALUE"""),43906.66666666667)</f>
        <v>43906.66667</v>
      </c>
      <c r="H55" s="11">
        <f>IFERROR(__xludf.DUMMYFUNCTION("""COMPUTED_VALUE"""),60.55)</f>
        <v>60.55</v>
      </c>
    </row>
    <row r="56" ht="15.75" customHeight="1">
      <c r="A56" s="10">
        <f>IFERROR(__xludf.DUMMYFUNCTION("""COMPUTED_VALUE"""),43907.66666666667)</f>
        <v>43907.66667</v>
      </c>
      <c r="B56" s="11">
        <f>IFERROR(__xludf.DUMMYFUNCTION("""COMPUTED_VALUE"""),47.18)</f>
        <v>47.18</v>
      </c>
      <c r="C56" s="10">
        <f>IFERROR(__xludf.DUMMYFUNCTION("""COMPUTED_VALUE"""),43907.66666666667)</f>
        <v>43907.66667</v>
      </c>
      <c r="D56" s="11">
        <f>IFERROR(__xludf.DUMMYFUNCTION("""COMPUTED_VALUE"""),146.57)</f>
        <v>146.57</v>
      </c>
      <c r="E56" s="10">
        <f>IFERROR(__xludf.DUMMYFUNCTION("""COMPUTED_VALUE"""),43907.66666666667)</f>
        <v>43907.66667</v>
      </c>
      <c r="F56" s="11">
        <f>IFERROR(__xludf.DUMMYFUNCTION("""COMPUTED_VALUE"""),28.68)</f>
        <v>28.68</v>
      </c>
      <c r="G56" s="12">
        <f>IFERROR(__xludf.DUMMYFUNCTION("""COMPUTED_VALUE"""),43907.66666666667)</f>
        <v>43907.66667</v>
      </c>
      <c r="H56" s="11">
        <f>IFERROR(__xludf.DUMMYFUNCTION("""COMPUTED_VALUE"""),63.22)</f>
        <v>63.22</v>
      </c>
    </row>
    <row r="57" ht="15.75" customHeight="1">
      <c r="A57" s="10">
        <f>IFERROR(__xludf.DUMMYFUNCTION("""COMPUTED_VALUE"""),43908.66666666667)</f>
        <v>43908.66667</v>
      </c>
      <c r="B57" s="11">
        <f>IFERROR(__xludf.DUMMYFUNCTION("""COMPUTED_VALUE"""),44.85)</f>
        <v>44.85</v>
      </c>
      <c r="C57" s="10">
        <f>IFERROR(__xludf.DUMMYFUNCTION("""COMPUTED_VALUE"""),43908.66666666667)</f>
        <v>43908.66667</v>
      </c>
      <c r="D57" s="11">
        <f>IFERROR(__xludf.DUMMYFUNCTION("""COMPUTED_VALUE"""),140.4)</f>
        <v>140.4</v>
      </c>
      <c r="E57" s="10">
        <f>IFERROR(__xludf.DUMMYFUNCTION("""COMPUTED_VALUE"""),43908.66666666667)</f>
        <v>43908.66667</v>
      </c>
      <c r="F57" s="11">
        <f>IFERROR(__xludf.DUMMYFUNCTION("""COMPUTED_VALUE"""),24.08)</f>
        <v>24.08</v>
      </c>
      <c r="G57" s="12">
        <f>IFERROR(__xludf.DUMMYFUNCTION("""COMPUTED_VALUE"""),43908.66666666667)</f>
        <v>43908.66667</v>
      </c>
      <c r="H57" s="11">
        <f>IFERROR(__xludf.DUMMYFUNCTION("""COMPUTED_VALUE"""),61.67)</f>
        <v>61.67</v>
      </c>
    </row>
    <row r="58" ht="15.75" customHeight="1">
      <c r="A58" s="10">
        <f>IFERROR(__xludf.DUMMYFUNCTION("""COMPUTED_VALUE"""),43909.66666666667)</f>
        <v>43909.66667</v>
      </c>
      <c r="B58" s="11">
        <f>IFERROR(__xludf.DUMMYFUNCTION("""COMPUTED_VALUE"""),41.83)</f>
        <v>41.83</v>
      </c>
      <c r="C58" s="10">
        <f>IFERROR(__xludf.DUMMYFUNCTION("""COMPUTED_VALUE"""),43909.66666666667)</f>
        <v>43909.66667</v>
      </c>
      <c r="D58" s="11">
        <f>IFERROR(__xludf.DUMMYFUNCTION("""COMPUTED_VALUE"""),142.71)</f>
        <v>142.71</v>
      </c>
      <c r="E58" s="10">
        <f>IFERROR(__xludf.DUMMYFUNCTION("""COMPUTED_VALUE"""),43909.66666666667)</f>
        <v>43909.66667</v>
      </c>
      <c r="F58" s="11">
        <f>IFERROR(__xludf.DUMMYFUNCTION("""COMPUTED_VALUE"""),28.51)</f>
        <v>28.51</v>
      </c>
      <c r="G58" s="12">
        <f>IFERROR(__xludf.DUMMYFUNCTION("""COMPUTED_VALUE"""),43909.66666666667)</f>
        <v>43909.66667</v>
      </c>
      <c r="H58" s="11">
        <f>IFERROR(__xludf.DUMMYFUNCTION("""COMPUTED_VALUE"""),61.2)</f>
        <v>61.2</v>
      </c>
    </row>
    <row r="59" ht="15.75" customHeight="1">
      <c r="A59" s="10">
        <f>IFERROR(__xludf.DUMMYFUNCTION("""COMPUTED_VALUE"""),43910.66666666667)</f>
        <v>43910.66667</v>
      </c>
      <c r="B59" s="11">
        <f>IFERROR(__xludf.DUMMYFUNCTION("""COMPUTED_VALUE"""),38.3)</f>
        <v>38.3</v>
      </c>
      <c r="C59" s="10">
        <f>IFERROR(__xludf.DUMMYFUNCTION("""COMPUTED_VALUE"""),43910.66666666667)</f>
        <v>43910.66667</v>
      </c>
      <c r="D59" s="11">
        <f>IFERROR(__xludf.DUMMYFUNCTION("""COMPUTED_VALUE"""),137.35)</f>
        <v>137.35</v>
      </c>
      <c r="E59" s="10">
        <f>IFERROR(__xludf.DUMMYFUNCTION("""COMPUTED_VALUE"""),43910.66666666667)</f>
        <v>43910.66667</v>
      </c>
      <c r="F59" s="11">
        <f>IFERROR(__xludf.DUMMYFUNCTION("""COMPUTED_VALUE"""),28.5)</f>
        <v>28.5</v>
      </c>
      <c r="G59" s="12">
        <f>IFERROR(__xludf.DUMMYFUNCTION("""COMPUTED_VALUE"""),43910.66666666667)</f>
        <v>43910.66667</v>
      </c>
      <c r="H59" s="11">
        <f>IFERROR(__xludf.DUMMYFUNCTION("""COMPUTED_VALUE"""),57.31)</f>
        <v>57.31</v>
      </c>
    </row>
    <row r="60" ht="15.75" customHeight="1">
      <c r="A60" s="10">
        <f>IFERROR(__xludf.DUMMYFUNCTION("""COMPUTED_VALUE"""),43913.66666666667)</f>
        <v>43913.66667</v>
      </c>
      <c r="B60" s="11">
        <f>IFERROR(__xludf.DUMMYFUNCTION("""COMPUTED_VALUE"""),37.56)</f>
        <v>37.56</v>
      </c>
      <c r="C60" s="10">
        <f>IFERROR(__xludf.DUMMYFUNCTION("""COMPUTED_VALUE"""),43913.66666666667)</f>
        <v>43913.66667</v>
      </c>
      <c r="D60" s="11">
        <f>IFERROR(__xludf.DUMMYFUNCTION("""COMPUTED_VALUE"""),135.98)</f>
        <v>135.98</v>
      </c>
      <c r="E60" s="10">
        <f>IFERROR(__xludf.DUMMYFUNCTION("""COMPUTED_VALUE"""),43913.66666666667)</f>
        <v>43913.66667</v>
      </c>
      <c r="F60" s="11">
        <f>IFERROR(__xludf.DUMMYFUNCTION("""COMPUTED_VALUE"""),28.95)</f>
        <v>28.95</v>
      </c>
      <c r="G60" s="12">
        <f>IFERROR(__xludf.DUMMYFUNCTION("""COMPUTED_VALUE"""),43913.66666666667)</f>
        <v>43913.66667</v>
      </c>
      <c r="H60" s="11">
        <f>IFERROR(__xludf.DUMMYFUNCTION("""COMPUTED_VALUE"""),56.09)</f>
        <v>56.09</v>
      </c>
    </row>
    <row r="61" ht="15.75" customHeight="1">
      <c r="A61" s="10">
        <f>IFERROR(__xludf.DUMMYFUNCTION("""COMPUTED_VALUE"""),43914.66666666667)</f>
        <v>43914.66667</v>
      </c>
      <c r="B61" s="11">
        <f>IFERROR(__xludf.DUMMYFUNCTION("""COMPUTED_VALUE"""),39.45)</f>
        <v>39.45</v>
      </c>
      <c r="C61" s="10">
        <f>IFERROR(__xludf.DUMMYFUNCTION("""COMPUTED_VALUE"""),43914.66666666667)</f>
        <v>43914.66667</v>
      </c>
      <c r="D61" s="11">
        <f>IFERROR(__xludf.DUMMYFUNCTION("""COMPUTED_VALUE"""),148.34)</f>
        <v>148.34</v>
      </c>
      <c r="E61" s="10">
        <f>IFERROR(__xludf.DUMMYFUNCTION("""COMPUTED_VALUE"""),43914.66666666667)</f>
        <v>43914.66667</v>
      </c>
      <c r="F61" s="11">
        <f>IFERROR(__xludf.DUMMYFUNCTION("""COMPUTED_VALUE"""),33.67)</f>
        <v>33.67</v>
      </c>
      <c r="G61" s="12">
        <f>IFERROR(__xludf.DUMMYFUNCTION("""COMPUTED_VALUE"""),43914.66666666667)</f>
        <v>43914.66667</v>
      </c>
      <c r="H61" s="11">
        <f>IFERROR(__xludf.DUMMYFUNCTION("""COMPUTED_VALUE"""),61.72)</f>
        <v>61.72</v>
      </c>
    </row>
    <row r="62" ht="15.75" customHeight="1">
      <c r="A62" s="10">
        <f>IFERROR(__xludf.DUMMYFUNCTION("""COMPUTED_VALUE"""),43915.66666666667)</f>
        <v>43915.66667</v>
      </c>
      <c r="B62" s="11">
        <f>IFERROR(__xludf.DUMMYFUNCTION("""COMPUTED_VALUE"""),41.61)</f>
        <v>41.61</v>
      </c>
      <c r="C62" s="10">
        <f>IFERROR(__xludf.DUMMYFUNCTION("""COMPUTED_VALUE"""),43915.66666666667)</f>
        <v>43915.66667</v>
      </c>
      <c r="D62" s="11">
        <f>IFERROR(__xludf.DUMMYFUNCTION("""COMPUTED_VALUE"""),146.92)</f>
        <v>146.92</v>
      </c>
      <c r="E62" s="10">
        <f>IFERROR(__xludf.DUMMYFUNCTION("""COMPUTED_VALUE"""),43915.66666666667)</f>
        <v>43915.66667</v>
      </c>
      <c r="F62" s="11">
        <f>IFERROR(__xludf.DUMMYFUNCTION("""COMPUTED_VALUE"""),35.95)</f>
        <v>35.95</v>
      </c>
      <c r="G62" s="12">
        <f>IFERROR(__xludf.DUMMYFUNCTION("""COMPUTED_VALUE"""),43915.66666666667)</f>
        <v>43915.66667</v>
      </c>
      <c r="H62" s="11">
        <f>IFERROR(__xludf.DUMMYFUNCTION("""COMPUTED_VALUE"""),61.38)</f>
        <v>61.38</v>
      </c>
    </row>
    <row r="63" ht="15.75" customHeight="1">
      <c r="A63" s="10">
        <f>IFERROR(__xludf.DUMMYFUNCTION("""COMPUTED_VALUE"""),43916.66666666667)</f>
        <v>43916.66667</v>
      </c>
      <c r="B63" s="11">
        <f>IFERROR(__xludf.DUMMYFUNCTION("""COMPUTED_VALUE"""),44.29)</f>
        <v>44.29</v>
      </c>
      <c r="C63" s="10">
        <f>IFERROR(__xludf.DUMMYFUNCTION("""COMPUTED_VALUE"""),43916.66666666667)</f>
        <v>43916.66667</v>
      </c>
      <c r="D63" s="11">
        <f>IFERROR(__xludf.DUMMYFUNCTION("""COMPUTED_VALUE"""),156.11)</f>
        <v>156.11</v>
      </c>
      <c r="E63" s="10">
        <f>IFERROR(__xludf.DUMMYFUNCTION("""COMPUTED_VALUE"""),43916.66666666667)</f>
        <v>43916.66667</v>
      </c>
      <c r="F63" s="11">
        <f>IFERROR(__xludf.DUMMYFUNCTION("""COMPUTED_VALUE"""),35.21)</f>
        <v>35.21</v>
      </c>
      <c r="G63" s="12">
        <f>IFERROR(__xludf.DUMMYFUNCTION("""COMPUTED_VALUE"""),43916.66666666667)</f>
        <v>43916.66667</v>
      </c>
      <c r="H63" s="11">
        <f>IFERROR(__xludf.DUMMYFUNCTION("""COMPUTED_VALUE"""),64.61)</f>
        <v>64.61</v>
      </c>
    </row>
    <row r="64" ht="15.75" customHeight="1">
      <c r="A64" s="10">
        <f>IFERROR(__xludf.DUMMYFUNCTION("""COMPUTED_VALUE"""),43917.66666666667)</f>
        <v>43917.66667</v>
      </c>
      <c r="B64" s="11">
        <f>IFERROR(__xludf.DUMMYFUNCTION("""COMPUTED_VALUE"""),42.81)</f>
        <v>42.81</v>
      </c>
      <c r="C64" s="10">
        <f>IFERROR(__xludf.DUMMYFUNCTION("""COMPUTED_VALUE"""),43917.66666666667)</f>
        <v>43917.66667</v>
      </c>
      <c r="D64" s="11">
        <f>IFERROR(__xludf.DUMMYFUNCTION("""COMPUTED_VALUE"""),149.7)</f>
        <v>149.7</v>
      </c>
      <c r="E64" s="10">
        <f>IFERROR(__xludf.DUMMYFUNCTION("""COMPUTED_VALUE"""),43917.66666666667)</f>
        <v>43917.66667</v>
      </c>
      <c r="F64" s="11">
        <f>IFERROR(__xludf.DUMMYFUNCTION("""COMPUTED_VALUE"""),34.29)</f>
        <v>34.29</v>
      </c>
      <c r="G64" s="12">
        <f>IFERROR(__xludf.DUMMYFUNCTION("""COMPUTED_VALUE"""),43917.66666666667)</f>
        <v>43917.66667</v>
      </c>
      <c r="H64" s="11">
        <f>IFERROR(__xludf.DUMMYFUNCTION("""COMPUTED_VALUE"""),61.94)</f>
        <v>61.94</v>
      </c>
    </row>
    <row r="65" ht="15.75" customHeight="1">
      <c r="A65" s="10">
        <f>IFERROR(__xludf.DUMMYFUNCTION("""COMPUTED_VALUE"""),43920.66666666667)</f>
        <v>43920.66667</v>
      </c>
      <c r="B65" s="11">
        <f>IFERROR(__xludf.DUMMYFUNCTION("""COMPUTED_VALUE"""),45.0)</f>
        <v>45</v>
      </c>
      <c r="C65" s="10">
        <f>IFERROR(__xludf.DUMMYFUNCTION("""COMPUTED_VALUE"""),43920.66666666667)</f>
        <v>43920.66667</v>
      </c>
      <c r="D65" s="11">
        <f>IFERROR(__xludf.DUMMYFUNCTION("""COMPUTED_VALUE"""),160.23)</f>
        <v>160.23</v>
      </c>
      <c r="E65" s="10">
        <f>IFERROR(__xludf.DUMMYFUNCTION("""COMPUTED_VALUE"""),43920.66666666667)</f>
        <v>43920.66667</v>
      </c>
      <c r="F65" s="11">
        <f>IFERROR(__xludf.DUMMYFUNCTION("""COMPUTED_VALUE"""),33.48)</f>
        <v>33.48</v>
      </c>
      <c r="G65" s="12">
        <f>IFERROR(__xludf.DUMMYFUNCTION("""COMPUTED_VALUE"""),43920.66666666667)</f>
        <v>43920.66667</v>
      </c>
      <c r="H65" s="11">
        <f>IFERROR(__xludf.DUMMYFUNCTION("""COMPUTED_VALUE"""),63.7)</f>
        <v>63.7</v>
      </c>
    </row>
    <row r="66" ht="15.75" customHeight="1">
      <c r="A66" s="10">
        <f>IFERROR(__xludf.DUMMYFUNCTION("""COMPUTED_VALUE"""),43921.66666666667)</f>
        <v>43921.66667</v>
      </c>
      <c r="B66" s="11">
        <f>IFERROR(__xludf.DUMMYFUNCTION("""COMPUTED_VALUE"""),44.25)</f>
        <v>44.25</v>
      </c>
      <c r="C66" s="10">
        <f>IFERROR(__xludf.DUMMYFUNCTION("""COMPUTED_VALUE"""),43921.66666666667)</f>
        <v>43921.66667</v>
      </c>
      <c r="D66" s="11">
        <f>IFERROR(__xludf.DUMMYFUNCTION("""COMPUTED_VALUE"""),157.71)</f>
        <v>157.71</v>
      </c>
      <c r="E66" s="10">
        <f>IFERROR(__xludf.DUMMYFUNCTION("""COMPUTED_VALUE"""),43921.66666666667)</f>
        <v>43921.66667</v>
      </c>
      <c r="F66" s="11">
        <f>IFERROR(__xludf.DUMMYFUNCTION("""COMPUTED_VALUE"""),34.93)</f>
        <v>34.93</v>
      </c>
      <c r="G66" s="12">
        <f>IFERROR(__xludf.DUMMYFUNCTION("""COMPUTED_VALUE"""),43921.66666666667)</f>
        <v>43921.66667</v>
      </c>
      <c r="H66" s="11">
        <f>IFERROR(__xludf.DUMMYFUNCTION("""COMPUTED_VALUE"""),63.57)</f>
        <v>63.57</v>
      </c>
    </row>
    <row r="67" ht="15.75" customHeight="1">
      <c r="A67" s="10">
        <f>IFERROR(__xludf.DUMMYFUNCTION("""COMPUTED_VALUE"""),43922.66666666667)</f>
        <v>43922.66667</v>
      </c>
      <c r="B67" s="11">
        <f>IFERROR(__xludf.DUMMYFUNCTION("""COMPUTED_VALUE"""),42.12)</f>
        <v>42.12</v>
      </c>
      <c r="C67" s="10">
        <f>IFERROR(__xludf.DUMMYFUNCTION("""COMPUTED_VALUE"""),43922.66666666667)</f>
        <v>43922.66667</v>
      </c>
      <c r="D67" s="11">
        <f>IFERROR(__xludf.DUMMYFUNCTION("""COMPUTED_VALUE"""),152.11)</f>
        <v>152.11</v>
      </c>
      <c r="E67" s="10">
        <f>IFERROR(__xludf.DUMMYFUNCTION("""COMPUTED_VALUE"""),43922.66666666667)</f>
        <v>43922.66667</v>
      </c>
      <c r="F67" s="11">
        <f>IFERROR(__xludf.DUMMYFUNCTION("""COMPUTED_VALUE"""),32.1)</f>
        <v>32.1</v>
      </c>
      <c r="G67" s="12">
        <f>IFERROR(__xludf.DUMMYFUNCTION("""COMPUTED_VALUE"""),43922.66666666667)</f>
        <v>43922.66667</v>
      </c>
      <c r="H67" s="11">
        <f>IFERROR(__xludf.DUMMYFUNCTION("""COMPUTED_VALUE"""),60.23)</f>
        <v>60.23</v>
      </c>
    </row>
    <row r="68" ht="15.75" customHeight="1">
      <c r="A68" s="10">
        <f>IFERROR(__xludf.DUMMYFUNCTION("""COMPUTED_VALUE"""),43923.66666666667)</f>
        <v>43923.66667</v>
      </c>
      <c r="B68" s="11">
        <f>IFERROR(__xludf.DUMMYFUNCTION("""COMPUTED_VALUE"""),43.95)</f>
        <v>43.95</v>
      </c>
      <c r="C68" s="10">
        <f>IFERROR(__xludf.DUMMYFUNCTION("""COMPUTED_VALUE"""),43923.66666666667)</f>
        <v>43923.66667</v>
      </c>
      <c r="D68" s="11">
        <f>IFERROR(__xludf.DUMMYFUNCTION("""COMPUTED_VALUE"""),155.26)</f>
        <v>155.26</v>
      </c>
      <c r="E68" s="10">
        <f>IFERROR(__xludf.DUMMYFUNCTION("""COMPUTED_VALUE"""),43923.66666666667)</f>
        <v>43923.66667</v>
      </c>
      <c r="F68" s="11">
        <f>IFERROR(__xludf.DUMMYFUNCTION("""COMPUTED_VALUE"""),30.3)</f>
        <v>30.3</v>
      </c>
      <c r="G68" s="12">
        <f>IFERROR(__xludf.DUMMYFUNCTION("""COMPUTED_VALUE"""),43923.66666666667)</f>
        <v>43923.66667</v>
      </c>
      <c r="H68" s="11">
        <f>IFERROR(__xludf.DUMMYFUNCTION("""COMPUTED_VALUE"""),61.23)</f>
        <v>61.23</v>
      </c>
    </row>
    <row r="69" ht="15.75" customHeight="1">
      <c r="A69" s="10">
        <f>IFERROR(__xludf.DUMMYFUNCTION("""COMPUTED_VALUE"""),43924.66666666667)</f>
        <v>43924.66667</v>
      </c>
      <c r="B69" s="11">
        <f>IFERROR(__xludf.DUMMYFUNCTION("""COMPUTED_VALUE"""),43.83)</f>
        <v>43.83</v>
      </c>
      <c r="C69" s="10">
        <f>IFERROR(__xludf.DUMMYFUNCTION("""COMPUTED_VALUE"""),43924.66666666667)</f>
        <v>43924.66667</v>
      </c>
      <c r="D69" s="11">
        <f>IFERROR(__xludf.DUMMYFUNCTION("""COMPUTED_VALUE"""),153.83)</f>
        <v>153.83</v>
      </c>
      <c r="E69" s="10">
        <f>IFERROR(__xludf.DUMMYFUNCTION("""COMPUTED_VALUE"""),43924.66666666667)</f>
        <v>43924.66667</v>
      </c>
      <c r="F69" s="11">
        <f>IFERROR(__xludf.DUMMYFUNCTION("""COMPUTED_VALUE"""),32.0)</f>
        <v>32</v>
      </c>
      <c r="G69" s="12">
        <f>IFERROR(__xludf.DUMMYFUNCTION("""COMPUTED_VALUE"""),43924.66666666667)</f>
        <v>43924.66667</v>
      </c>
      <c r="H69" s="11">
        <f>IFERROR(__xludf.DUMMYFUNCTION("""COMPUTED_VALUE"""),60.35)</f>
        <v>60.35</v>
      </c>
    </row>
    <row r="70" ht="15.75" customHeight="1">
      <c r="A70" s="10">
        <f>IFERROR(__xludf.DUMMYFUNCTION("""COMPUTED_VALUE"""),43927.66666666667)</f>
        <v>43927.66667</v>
      </c>
      <c r="B70" s="11">
        <f>IFERROR(__xludf.DUMMYFUNCTION("""COMPUTED_VALUE"""),46.67)</f>
        <v>46.67</v>
      </c>
      <c r="C70" s="10">
        <f>IFERROR(__xludf.DUMMYFUNCTION("""COMPUTED_VALUE"""),43927.66666666667)</f>
        <v>43927.66667</v>
      </c>
      <c r="D70" s="11">
        <f>IFERROR(__xludf.DUMMYFUNCTION("""COMPUTED_VALUE"""),165.27)</f>
        <v>165.27</v>
      </c>
      <c r="E70" s="10">
        <f>IFERROR(__xludf.DUMMYFUNCTION("""COMPUTED_VALUE"""),43927.66666666667)</f>
        <v>43927.66667</v>
      </c>
      <c r="F70" s="11">
        <f>IFERROR(__xludf.DUMMYFUNCTION("""COMPUTED_VALUE"""),34.42)</f>
        <v>34.42</v>
      </c>
      <c r="G70" s="12">
        <f>IFERROR(__xludf.DUMMYFUNCTION("""COMPUTED_VALUE"""),43927.66666666667)</f>
        <v>43927.66667</v>
      </c>
      <c r="H70" s="11">
        <f>IFERROR(__xludf.DUMMYFUNCTION("""COMPUTED_VALUE"""),65.62)</f>
        <v>65.62</v>
      </c>
    </row>
    <row r="71" ht="15.75" customHeight="1">
      <c r="A71" s="10">
        <f>IFERROR(__xludf.DUMMYFUNCTION("""COMPUTED_VALUE"""),43928.66666666667)</f>
        <v>43928.66667</v>
      </c>
      <c r="B71" s="11">
        <f>IFERROR(__xludf.DUMMYFUNCTION("""COMPUTED_VALUE"""),46.51)</f>
        <v>46.51</v>
      </c>
      <c r="C71" s="10">
        <f>IFERROR(__xludf.DUMMYFUNCTION("""COMPUTED_VALUE"""),43928.66666666667)</f>
        <v>43928.66667</v>
      </c>
      <c r="D71" s="11">
        <f>IFERROR(__xludf.DUMMYFUNCTION("""COMPUTED_VALUE"""),163.49)</f>
        <v>163.49</v>
      </c>
      <c r="E71" s="10">
        <f>IFERROR(__xludf.DUMMYFUNCTION("""COMPUTED_VALUE"""),43928.66666666667)</f>
        <v>43928.66667</v>
      </c>
      <c r="F71" s="11">
        <f>IFERROR(__xludf.DUMMYFUNCTION("""COMPUTED_VALUE"""),36.36)</f>
        <v>36.36</v>
      </c>
      <c r="G71" s="12">
        <f>IFERROR(__xludf.DUMMYFUNCTION("""COMPUTED_VALUE"""),43928.66666666667)</f>
        <v>43928.66667</v>
      </c>
      <c r="H71" s="11">
        <f>IFERROR(__xludf.DUMMYFUNCTION("""COMPUTED_VALUE"""),64.86)</f>
        <v>64.86</v>
      </c>
    </row>
    <row r="72" ht="15.75" customHeight="1">
      <c r="A72" s="10">
        <f>IFERROR(__xludf.DUMMYFUNCTION("""COMPUTED_VALUE"""),43929.66666666667)</f>
        <v>43929.66667</v>
      </c>
      <c r="B72" s="11">
        <f>IFERROR(__xludf.DUMMYFUNCTION("""COMPUTED_VALUE"""),47.82)</f>
        <v>47.82</v>
      </c>
      <c r="C72" s="10">
        <f>IFERROR(__xludf.DUMMYFUNCTION("""COMPUTED_VALUE"""),43929.66666666667)</f>
        <v>43929.66667</v>
      </c>
      <c r="D72" s="11">
        <f>IFERROR(__xludf.DUMMYFUNCTION("""COMPUTED_VALUE"""),165.13)</f>
        <v>165.13</v>
      </c>
      <c r="E72" s="10">
        <f>IFERROR(__xludf.DUMMYFUNCTION("""COMPUTED_VALUE"""),43929.66666666667)</f>
        <v>43929.66667</v>
      </c>
      <c r="F72" s="11">
        <f>IFERROR(__xludf.DUMMYFUNCTION("""COMPUTED_VALUE"""),36.59)</f>
        <v>36.59</v>
      </c>
      <c r="G72" s="12">
        <f>IFERROR(__xludf.DUMMYFUNCTION("""COMPUTED_VALUE"""),43929.66666666667)</f>
        <v>43929.66667</v>
      </c>
      <c r="H72" s="11">
        <f>IFERROR(__xludf.DUMMYFUNCTION("""COMPUTED_VALUE"""),66.52)</f>
        <v>66.52</v>
      </c>
    </row>
    <row r="73" ht="15.75" customHeight="1">
      <c r="A73" s="10">
        <f>IFERROR(__xludf.DUMMYFUNCTION("""COMPUTED_VALUE"""),43930.66666666667)</f>
        <v>43930.66667</v>
      </c>
      <c r="B73" s="11">
        <f>IFERROR(__xludf.DUMMYFUNCTION("""COMPUTED_VALUE"""),49.0)</f>
        <v>49</v>
      </c>
      <c r="C73" s="10">
        <f>IFERROR(__xludf.DUMMYFUNCTION("""COMPUTED_VALUE"""),43930.66666666667)</f>
        <v>43930.66667</v>
      </c>
      <c r="D73" s="11">
        <f>IFERROR(__xludf.DUMMYFUNCTION("""COMPUTED_VALUE"""),165.14)</f>
        <v>165.14</v>
      </c>
      <c r="E73" s="10">
        <f>IFERROR(__xludf.DUMMYFUNCTION("""COMPUTED_VALUE"""),43930.66666666667)</f>
        <v>43930.66667</v>
      </c>
      <c r="F73" s="11">
        <f>IFERROR(__xludf.DUMMYFUNCTION("""COMPUTED_VALUE"""),38.2)</f>
        <v>38.2</v>
      </c>
      <c r="G73" s="12">
        <f>IFERROR(__xludf.DUMMYFUNCTION("""COMPUTED_VALUE"""),43930.66666666667)</f>
        <v>43930.66667</v>
      </c>
      <c r="H73" s="11">
        <f>IFERROR(__xludf.DUMMYFUNCTION("""COMPUTED_VALUE"""),67.0)</f>
        <v>67</v>
      </c>
    </row>
    <row r="74" ht="15.75" customHeight="1">
      <c r="A74" s="10">
        <f>IFERROR(__xludf.DUMMYFUNCTION("""COMPUTED_VALUE"""),43934.66666666667)</f>
        <v>43934.66667</v>
      </c>
      <c r="B74" s="11">
        <f>IFERROR(__xludf.DUMMYFUNCTION("""COMPUTED_VALUE"""),46.93)</f>
        <v>46.93</v>
      </c>
      <c r="C74" s="10">
        <f>IFERROR(__xludf.DUMMYFUNCTION("""COMPUTED_VALUE"""),43934.66666666667)</f>
        <v>43934.66667</v>
      </c>
      <c r="D74" s="11">
        <f>IFERROR(__xludf.DUMMYFUNCTION("""COMPUTED_VALUE"""),165.51)</f>
        <v>165.51</v>
      </c>
      <c r="E74" s="10">
        <f>IFERROR(__xludf.DUMMYFUNCTION("""COMPUTED_VALUE"""),43934.66666666667)</f>
        <v>43934.66667</v>
      </c>
      <c r="F74" s="11">
        <f>IFERROR(__xludf.DUMMYFUNCTION("""COMPUTED_VALUE"""),43.4)</f>
        <v>43.4</v>
      </c>
      <c r="G74" s="12">
        <f>IFERROR(__xludf.DUMMYFUNCTION("""COMPUTED_VALUE"""),43934.66666666667)</f>
        <v>43934.66667</v>
      </c>
      <c r="H74" s="11">
        <f>IFERROR(__xludf.DUMMYFUNCTION("""COMPUTED_VALUE"""),68.31)</f>
        <v>68.31</v>
      </c>
    </row>
    <row r="75" ht="15.75" customHeight="1">
      <c r="A75" s="10">
        <f>IFERROR(__xludf.DUMMYFUNCTION("""COMPUTED_VALUE"""),43935.66666666667)</f>
        <v>43935.66667</v>
      </c>
      <c r="B75" s="11">
        <f>IFERROR(__xludf.DUMMYFUNCTION("""COMPUTED_VALUE"""),48.92)</f>
        <v>48.92</v>
      </c>
      <c r="C75" s="10">
        <f>IFERROR(__xludf.DUMMYFUNCTION("""COMPUTED_VALUE"""),43935.66666666667)</f>
        <v>43935.66667</v>
      </c>
      <c r="D75" s="11">
        <f>IFERROR(__xludf.DUMMYFUNCTION("""COMPUTED_VALUE"""),173.7)</f>
        <v>173.7</v>
      </c>
      <c r="E75" s="10">
        <f>IFERROR(__xludf.DUMMYFUNCTION("""COMPUTED_VALUE"""),43935.66666666667)</f>
        <v>43935.66667</v>
      </c>
      <c r="F75" s="11">
        <f>IFERROR(__xludf.DUMMYFUNCTION("""COMPUTED_VALUE"""),47.33)</f>
        <v>47.33</v>
      </c>
      <c r="G75" s="12">
        <f>IFERROR(__xludf.DUMMYFUNCTION("""COMPUTED_VALUE"""),43935.66666666667)</f>
        <v>43935.66667</v>
      </c>
      <c r="H75" s="11">
        <f>IFERROR(__xludf.DUMMYFUNCTION("""COMPUTED_VALUE"""),71.76)</f>
        <v>71.76</v>
      </c>
    </row>
    <row r="76" ht="15.75" customHeight="1">
      <c r="A76" s="10">
        <f>IFERROR(__xludf.DUMMYFUNCTION("""COMPUTED_VALUE"""),43936.66666666667)</f>
        <v>43936.66667</v>
      </c>
      <c r="B76" s="11">
        <f>IFERROR(__xludf.DUMMYFUNCTION("""COMPUTED_VALUE"""),47.61)</f>
        <v>47.61</v>
      </c>
      <c r="C76" s="10">
        <f>IFERROR(__xludf.DUMMYFUNCTION("""COMPUTED_VALUE"""),43936.66666666667)</f>
        <v>43936.66667</v>
      </c>
      <c r="D76" s="11">
        <f>IFERROR(__xludf.DUMMYFUNCTION("""COMPUTED_VALUE"""),171.88)</f>
        <v>171.88</v>
      </c>
      <c r="E76" s="10">
        <f>IFERROR(__xludf.DUMMYFUNCTION("""COMPUTED_VALUE"""),43936.66666666667)</f>
        <v>43936.66667</v>
      </c>
      <c r="F76" s="11">
        <f>IFERROR(__xludf.DUMMYFUNCTION("""COMPUTED_VALUE"""),48.66)</f>
        <v>48.66</v>
      </c>
      <c r="G76" s="12">
        <f>IFERROR(__xludf.DUMMYFUNCTION("""COMPUTED_VALUE"""),43936.66666666667)</f>
        <v>43936.66667</v>
      </c>
      <c r="H76" s="11">
        <f>IFERROR(__xludf.DUMMYFUNCTION("""COMPUTED_VALUE"""),71.11)</f>
        <v>71.11</v>
      </c>
    </row>
    <row r="77" ht="15.75" customHeight="1">
      <c r="A77" s="10">
        <f>IFERROR(__xludf.DUMMYFUNCTION("""COMPUTED_VALUE"""),43937.66666666667)</f>
        <v>43937.66667</v>
      </c>
      <c r="B77" s="11">
        <f>IFERROR(__xludf.DUMMYFUNCTION("""COMPUTED_VALUE"""),47.1)</f>
        <v>47.1</v>
      </c>
      <c r="C77" s="10">
        <f>IFERROR(__xludf.DUMMYFUNCTION("""COMPUTED_VALUE"""),43937.66666666667)</f>
        <v>43937.66667</v>
      </c>
      <c r="D77" s="11">
        <f>IFERROR(__xludf.DUMMYFUNCTION("""COMPUTED_VALUE"""),177.04)</f>
        <v>177.04</v>
      </c>
      <c r="E77" s="10">
        <f>IFERROR(__xludf.DUMMYFUNCTION("""COMPUTED_VALUE"""),43937.66666666667)</f>
        <v>43937.66667</v>
      </c>
      <c r="F77" s="11">
        <f>IFERROR(__xludf.DUMMYFUNCTION("""COMPUTED_VALUE"""),49.68)</f>
        <v>49.68</v>
      </c>
      <c r="G77" s="12">
        <f>IFERROR(__xludf.DUMMYFUNCTION("""COMPUTED_VALUE"""),43937.66666666667)</f>
        <v>43937.66667</v>
      </c>
      <c r="H77" s="11">
        <f>IFERROR(__xludf.DUMMYFUNCTION("""COMPUTED_VALUE"""),71.67)</f>
        <v>71.67</v>
      </c>
    </row>
    <row r="78" ht="15.75" customHeight="1">
      <c r="A78" s="10">
        <f>IFERROR(__xludf.DUMMYFUNCTION("""COMPUTED_VALUE"""),43938.66666666667)</f>
        <v>43938.66667</v>
      </c>
      <c r="B78" s="11">
        <f>IFERROR(__xludf.DUMMYFUNCTION("""COMPUTED_VALUE"""),48.06)</f>
        <v>48.06</v>
      </c>
      <c r="C78" s="10">
        <f>IFERROR(__xludf.DUMMYFUNCTION("""COMPUTED_VALUE"""),43938.66666666667)</f>
        <v>43938.66667</v>
      </c>
      <c r="D78" s="11">
        <f>IFERROR(__xludf.DUMMYFUNCTION("""COMPUTED_VALUE"""),178.6)</f>
        <v>178.6</v>
      </c>
      <c r="E78" s="10">
        <f>IFERROR(__xludf.DUMMYFUNCTION("""COMPUTED_VALUE"""),43938.66666666667)</f>
        <v>43938.66667</v>
      </c>
      <c r="F78" s="11">
        <f>IFERROR(__xludf.DUMMYFUNCTION("""COMPUTED_VALUE"""),50.26)</f>
        <v>50.26</v>
      </c>
      <c r="G78" s="12">
        <f>IFERROR(__xludf.DUMMYFUNCTION("""COMPUTED_VALUE"""),43938.66666666667)</f>
        <v>43938.66667</v>
      </c>
      <c r="H78" s="11">
        <f>IFERROR(__xludf.DUMMYFUNCTION("""COMPUTED_VALUE"""),70.7)</f>
        <v>70.7</v>
      </c>
    </row>
    <row r="79" ht="15.75" customHeight="1">
      <c r="A79" s="10">
        <f>IFERROR(__xludf.DUMMYFUNCTION("""COMPUTED_VALUE"""),43941.66666666667)</f>
        <v>43941.66667</v>
      </c>
      <c r="B79" s="11">
        <f>IFERROR(__xludf.DUMMYFUNCTION("""COMPUTED_VALUE"""),46.53)</f>
        <v>46.53</v>
      </c>
      <c r="C79" s="10">
        <f>IFERROR(__xludf.DUMMYFUNCTION("""COMPUTED_VALUE"""),43941.66666666667)</f>
        <v>43941.66667</v>
      </c>
      <c r="D79" s="11">
        <f>IFERROR(__xludf.DUMMYFUNCTION("""COMPUTED_VALUE"""),175.06)</f>
        <v>175.06</v>
      </c>
      <c r="E79" s="10">
        <f>IFERROR(__xludf.DUMMYFUNCTION("""COMPUTED_VALUE"""),43941.66666666667)</f>
        <v>43941.66667</v>
      </c>
      <c r="F79" s="11">
        <f>IFERROR(__xludf.DUMMYFUNCTION("""COMPUTED_VALUE"""),49.76)</f>
        <v>49.76</v>
      </c>
      <c r="G79" s="12">
        <f>IFERROR(__xludf.DUMMYFUNCTION("""COMPUTED_VALUE"""),43941.66666666667)</f>
        <v>43941.66667</v>
      </c>
      <c r="H79" s="11">
        <f>IFERROR(__xludf.DUMMYFUNCTION("""COMPUTED_VALUE"""),69.23)</f>
        <v>69.23</v>
      </c>
    </row>
    <row r="80" ht="15.75" customHeight="1">
      <c r="A80" s="10">
        <f>IFERROR(__xludf.DUMMYFUNCTION("""COMPUTED_VALUE"""),43942.66666666667)</f>
        <v>43942.66667</v>
      </c>
      <c r="B80" s="11">
        <f>IFERROR(__xludf.DUMMYFUNCTION("""COMPUTED_VALUE"""),45.38)</f>
        <v>45.38</v>
      </c>
      <c r="C80" s="10">
        <f>IFERROR(__xludf.DUMMYFUNCTION("""COMPUTED_VALUE"""),43942.66666666667)</f>
        <v>43942.66667</v>
      </c>
      <c r="D80" s="11">
        <f>IFERROR(__xludf.DUMMYFUNCTION("""COMPUTED_VALUE"""),167.82)</f>
        <v>167.82</v>
      </c>
      <c r="E80" s="10">
        <f>IFERROR(__xludf.DUMMYFUNCTION("""COMPUTED_VALUE"""),43942.66666666667)</f>
        <v>43942.66667</v>
      </c>
      <c r="F80" s="11">
        <f>IFERROR(__xludf.DUMMYFUNCTION("""COMPUTED_VALUE"""),45.78)</f>
        <v>45.78</v>
      </c>
      <c r="G80" s="12">
        <f>IFERROR(__xludf.DUMMYFUNCTION("""COMPUTED_VALUE"""),43942.66666666667)</f>
        <v>43942.66667</v>
      </c>
      <c r="H80" s="11">
        <f>IFERROR(__xludf.DUMMYFUNCTION("""COMPUTED_VALUE"""),67.09)</f>
        <v>67.09</v>
      </c>
    </row>
    <row r="81" ht="15.75" customHeight="1">
      <c r="A81" s="10">
        <f>IFERROR(__xludf.DUMMYFUNCTION("""COMPUTED_VALUE"""),43943.66666666667)</f>
        <v>43943.66667</v>
      </c>
      <c r="B81" s="11">
        <f>IFERROR(__xludf.DUMMYFUNCTION("""COMPUTED_VALUE"""),45.68)</f>
        <v>45.68</v>
      </c>
      <c r="C81" s="10">
        <f>IFERROR(__xludf.DUMMYFUNCTION("""COMPUTED_VALUE"""),43943.66666666667)</f>
        <v>43943.66667</v>
      </c>
      <c r="D81" s="11">
        <f>IFERROR(__xludf.DUMMYFUNCTION("""COMPUTED_VALUE"""),173.52)</f>
        <v>173.52</v>
      </c>
      <c r="E81" s="10">
        <f>IFERROR(__xludf.DUMMYFUNCTION("""COMPUTED_VALUE"""),43943.66666666667)</f>
        <v>43943.66667</v>
      </c>
      <c r="F81" s="11">
        <f>IFERROR(__xludf.DUMMYFUNCTION("""COMPUTED_VALUE"""),48.81)</f>
        <v>48.81</v>
      </c>
      <c r="G81" s="12">
        <f>IFERROR(__xludf.DUMMYFUNCTION("""COMPUTED_VALUE"""),43943.66666666667)</f>
        <v>43943.66667</v>
      </c>
      <c r="H81" s="11">
        <f>IFERROR(__xludf.DUMMYFUNCTION("""COMPUTED_VALUE"""),69.03)</f>
        <v>69.03</v>
      </c>
    </row>
    <row r="82" ht="15.75" customHeight="1">
      <c r="A82" s="10">
        <f>IFERROR(__xludf.DUMMYFUNCTION("""COMPUTED_VALUE"""),43944.66666666667)</f>
        <v>43944.66667</v>
      </c>
      <c r="B82" s="11">
        <f>IFERROR(__xludf.DUMMYFUNCTION("""COMPUTED_VALUE"""),45.07)</f>
        <v>45.07</v>
      </c>
      <c r="C82" s="10">
        <f>IFERROR(__xludf.DUMMYFUNCTION("""COMPUTED_VALUE"""),43944.66666666667)</f>
        <v>43944.66667</v>
      </c>
      <c r="D82" s="11">
        <f>IFERROR(__xludf.DUMMYFUNCTION("""COMPUTED_VALUE"""),171.42)</f>
        <v>171.42</v>
      </c>
      <c r="E82" s="10">
        <f>IFERROR(__xludf.DUMMYFUNCTION("""COMPUTED_VALUE"""),43944.66666666667)</f>
        <v>43944.66667</v>
      </c>
      <c r="F82" s="11">
        <f>IFERROR(__xludf.DUMMYFUNCTION("""COMPUTED_VALUE"""),47.04)</f>
        <v>47.04</v>
      </c>
      <c r="G82" s="12">
        <f>IFERROR(__xludf.DUMMYFUNCTION("""COMPUTED_VALUE"""),43944.66666666667)</f>
        <v>43944.66667</v>
      </c>
      <c r="H82" s="11">
        <f>IFERROR(__xludf.DUMMYFUNCTION("""COMPUTED_VALUE"""),68.76)</f>
        <v>68.76</v>
      </c>
    </row>
    <row r="83" ht="15.75" customHeight="1">
      <c r="A83" s="10">
        <f>IFERROR(__xludf.DUMMYFUNCTION("""COMPUTED_VALUE"""),43945.66666666667)</f>
        <v>43945.66667</v>
      </c>
      <c r="B83" s="11">
        <f>IFERROR(__xludf.DUMMYFUNCTION("""COMPUTED_VALUE"""),45.43)</f>
        <v>45.43</v>
      </c>
      <c r="C83" s="10">
        <f>IFERROR(__xludf.DUMMYFUNCTION("""COMPUTED_VALUE"""),43945.66666666667)</f>
        <v>43945.66667</v>
      </c>
      <c r="D83" s="11">
        <f>IFERROR(__xludf.DUMMYFUNCTION("""COMPUTED_VALUE"""),174.55)</f>
        <v>174.55</v>
      </c>
      <c r="E83" s="10">
        <f>IFERROR(__xludf.DUMMYFUNCTION("""COMPUTED_VALUE"""),43945.66666666667)</f>
        <v>43945.66667</v>
      </c>
      <c r="F83" s="11">
        <f>IFERROR(__xludf.DUMMYFUNCTION("""COMPUTED_VALUE"""),48.34)</f>
        <v>48.34</v>
      </c>
      <c r="G83" s="12">
        <f>IFERROR(__xludf.DUMMYFUNCTION("""COMPUTED_VALUE"""),43945.66666666667)</f>
        <v>43945.66667</v>
      </c>
      <c r="H83" s="11">
        <f>IFERROR(__xludf.DUMMYFUNCTION("""COMPUTED_VALUE"""),70.74)</f>
        <v>70.74</v>
      </c>
    </row>
    <row r="84" ht="15.75" customHeight="1">
      <c r="A84" s="10">
        <f>IFERROR(__xludf.DUMMYFUNCTION("""COMPUTED_VALUE"""),43948.66666666667)</f>
        <v>43948.66667</v>
      </c>
      <c r="B84" s="11">
        <f>IFERROR(__xludf.DUMMYFUNCTION("""COMPUTED_VALUE"""),46.78)</f>
        <v>46.78</v>
      </c>
      <c r="C84" s="10">
        <f>IFERROR(__xludf.DUMMYFUNCTION("""COMPUTED_VALUE"""),43948.66666666667)</f>
        <v>43948.66667</v>
      </c>
      <c r="D84" s="11">
        <f>IFERROR(__xludf.DUMMYFUNCTION("""COMPUTED_VALUE"""),174.05)</f>
        <v>174.05</v>
      </c>
      <c r="E84" s="10">
        <f>IFERROR(__xludf.DUMMYFUNCTION("""COMPUTED_VALUE"""),43948.66666666667)</f>
        <v>43948.66667</v>
      </c>
      <c r="F84" s="11">
        <f>IFERROR(__xludf.DUMMYFUNCTION("""COMPUTED_VALUE"""),53.25)</f>
        <v>53.25</v>
      </c>
      <c r="G84" s="12">
        <f>IFERROR(__xludf.DUMMYFUNCTION("""COMPUTED_VALUE"""),43948.66666666667)</f>
        <v>43948.66667</v>
      </c>
      <c r="H84" s="11">
        <f>IFERROR(__xludf.DUMMYFUNCTION("""COMPUTED_VALUE"""),70.79)</f>
        <v>70.79</v>
      </c>
    </row>
    <row r="85" ht="15.75" customHeight="1">
      <c r="A85" s="10">
        <f>IFERROR(__xludf.DUMMYFUNCTION("""COMPUTED_VALUE"""),43949.66666666667)</f>
        <v>43949.66667</v>
      </c>
      <c r="B85" s="11">
        <f>IFERROR(__xludf.DUMMYFUNCTION("""COMPUTED_VALUE"""),46.74)</f>
        <v>46.74</v>
      </c>
      <c r="C85" s="10">
        <f>IFERROR(__xludf.DUMMYFUNCTION("""COMPUTED_VALUE"""),43949.66666666667)</f>
        <v>43949.66667</v>
      </c>
      <c r="D85" s="11">
        <f>IFERROR(__xludf.DUMMYFUNCTION("""COMPUTED_VALUE"""),169.81)</f>
        <v>169.81</v>
      </c>
      <c r="E85" s="10">
        <f>IFERROR(__xludf.DUMMYFUNCTION("""COMPUTED_VALUE"""),43949.66666666667)</f>
        <v>43949.66667</v>
      </c>
      <c r="F85" s="11">
        <f>IFERROR(__xludf.DUMMYFUNCTION("""COMPUTED_VALUE"""),51.27)</f>
        <v>51.27</v>
      </c>
      <c r="G85" s="12">
        <f>IFERROR(__xludf.DUMMYFUNCTION("""COMPUTED_VALUE"""),43949.66666666667)</f>
        <v>43949.66667</v>
      </c>
      <c r="H85" s="11">
        <f>IFERROR(__xludf.DUMMYFUNCTION("""COMPUTED_VALUE"""),69.65)</f>
        <v>69.65</v>
      </c>
    </row>
    <row r="86" ht="15.75" customHeight="1">
      <c r="A86" s="10">
        <f>IFERROR(__xludf.DUMMYFUNCTION("""COMPUTED_VALUE"""),43950.66666666667)</f>
        <v>43950.66667</v>
      </c>
      <c r="B86" s="11">
        <f>IFERROR(__xludf.DUMMYFUNCTION("""COMPUTED_VALUE"""),47.12)</f>
        <v>47.12</v>
      </c>
      <c r="C86" s="10">
        <f>IFERROR(__xludf.DUMMYFUNCTION("""COMPUTED_VALUE"""),43950.66666666667)</f>
        <v>43950.66667</v>
      </c>
      <c r="D86" s="11">
        <f>IFERROR(__xludf.DUMMYFUNCTION("""COMPUTED_VALUE"""),177.43)</f>
        <v>177.43</v>
      </c>
      <c r="E86" s="10">
        <f>IFERROR(__xludf.DUMMYFUNCTION("""COMPUTED_VALUE"""),43950.66666666667)</f>
        <v>43950.66667</v>
      </c>
      <c r="F86" s="11">
        <f>IFERROR(__xludf.DUMMYFUNCTION("""COMPUTED_VALUE"""),53.37)</f>
        <v>53.37</v>
      </c>
      <c r="G86" s="12">
        <f>IFERROR(__xludf.DUMMYFUNCTION("""COMPUTED_VALUE"""),43950.66666666667)</f>
        <v>43950.66667</v>
      </c>
      <c r="H86" s="11">
        <f>IFERROR(__xludf.DUMMYFUNCTION("""COMPUTED_VALUE"""),71.93)</f>
        <v>71.93</v>
      </c>
    </row>
    <row r="87" ht="15.75" customHeight="1">
      <c r="A87" s="10">
        <f>IFERROR(__xludf.DUMMYFUNCTION("""COMPUTED_VALUE"""),43951.66666666667)</f>
        <v>43951.66667</v>
      </c>
      <c r="B87" s="11">
        <f>IFERROR(__xludf.DUMMYFUNCTION("""COMPUTED_VALUE"""),45.89)</f>
        <v>45.89</v>
      </c>
      <c r="C87" s="10">
        <f>IFERROR(__xludf.DUMMYFUNCTION("""COMPUTED_VALUE"""),43951.66666666667)</f>
        <v>43951.66667</v>
      </c>
      <c r="D87" s="11">
        <f>IFERROR(__xludf.DUMMYFUNCTION("""COMPUTED_VALUE"""),179.21)</f>
        <v>179.21</v>
      </c>
      <c r="E87" s="10">
        <f>IFERROR(__xludf.DUMMYFUNCTION("""COMPUTED_VALUE"""),43951.66666666667)</f>
        <v>43951.66667</v>
      </c>
      <c r="F87" s="11">
        <f>IFERROR(__xludf.DUMMYFUNCTION("""COMPUTED_VALUE"""),52.13)</f>
        <v>52.13</v>
      </c>
      <c r="G87" s="12">
        <f>IFERROR(__xludf.DUMMYFUNCTION("""COMPUTED_VALUE"""),43951.66666666667)</f>
        <v>43951.66667</v>
      </c>
      <c r="H87" s="11">
        <f>IFERROR(__xludf.DUMMYFUNCTION("""COMPUTED_VALUE"""),73.45)</f>
        <v>73.45</v>
      </c>
    </row>
    <row r="88" ht="15.75" customHeight="1">
      <c r="A88" s="10">
        <f>IFERROR(__xludf.DUMMYFUNCTION("""COMPUTED_VALUE"""),43952.66666666667)</f>
        <v>43952.66667</v>
      </c>
      <c r="B88" s="11">
        <f>IFERROR(__xludf.DUMMYFUNCTION("""COMPUTED_VALUE"""),45.6)</f>
        <v>45.6</v>
      </c>
      <c r="C88" s="10">
        <f>IFERROR(__xludf.DUMMYFUNCTION("""COMPUTED_VALUE"""),43952.66666666667)</f>
        <v>43952.66667</v>
      </c>
      <c r="D88" s="11">
        <f>IFERROR(__xludf.DUMMYFUNCTION("""COMPUTED_VALUE"""),174.57)</f>
        <v>174.57</v>
      </c>
      <c r="E88" s="10">
        <f>IFERROR(__xludf.DUMMYFUNCTION("""COMPUTED_VALUE"""),43952.66666666667)</f>
        <v>43952.66667</v>
      </c>
      <c r="F88" s="11">
        <f>IFERROR(__xludf.DUMMYFUNCTION("""COMPUTED_VALUE"""),46.75)</f>
        <v>46.75</v>
      </c>
      <c r="G88" s="12">
        <f>IFERROR(__xludf.DUMMYFUNCTION("""COMPUTED_VALUE"""),43952.66666666667)</f>
        <v>43952.66667</v>
      </c>
      <c r="H88" s="11">
        <f>IFERROR(__xludf.DUMMYFUNCTION("""COMPUTED_VALUE"""),72.27)</f>
        <v>72.27</v>
      </c>
    </row>
    <row r="89" ht="15.75" customHeight="1">
      <c r="A89" s="10">
        <f>IFERROR(__xludf.DUMMYFUNCTION("""COMPUTED_VALUE"""),43955.66666666667)</f>
        <v>43955.66667</v>
      </c>
      <c r="B89" s="11">
        <f>IFERROR(__xludf.DUMMYFUNCTION("""COMPUTED_VALUE"""),45.14)</f>
        <v>45.14</v>
      </c>
      <c r="C89" s="10">
        <f>IFERROR(__xludf.DUMMYFUNCTION("""COMPUTED_VALUE"""),43955.66666666667)</f>
        <v>43955.66667</v>
      </c>
      <c r="D89" s="11">
        <f>IFERROR(__xludf.DUMMYFUNCTION("""COMPUTED_VALUE"""),178.84)</f>
        <v>178.84</v>
      </c>
      <c r="E89" s="10">
        <f>IFERROR(__xludf.DUMMYFUNCTION("""COMPUTED_VALUE"""),43955.66666666667)</f>
        <v>43955.66667</v>
      </c>
      <c r="F89" s="11">
        <f>IFERROR(__xludf.DUMMYFUNCTION("""COMPUTED_VALUE"""),50.75)</f>
        <v>50.75</v>
      </c>
      <c r="G89" s="12">
        <f>IFERROR(__xludf.DUMMYFUNCTION("""COMPUTED_VALUE"""),43955.66666666667)</f>
        <v>43955.66667</v>
      </c>
      <c r="H89" s="11">
        <f>IFERROR(__xludf.DUMMYFUNCTION("""COMPUTED_VALUE"""),73.29)</f>
        <v>73.29</v>
      </c>
    </row>
    <row r="90" ht="15.75" customHeight="1">
      <c r="A90" s="10">
        <f>IFERROR(__xludf.DUMMYFUNCTION("""COMPUTED_VALUE"""),43956.66666666667)</f>
        <v>43956.66667</v>
      </c>
      <c r="B90" s="11">
        <f>IFERROR(__xludf.DUMMYFUNCTION("""COMPUTED_VALUE"""),45.4)</f>
        <v>45.4</v>
      </c>
      <c r="C90" s="10">
        <f>IFERROR(__xludf.DUMMYFUNCTION("""COMPUTED_VALUE"""),43956.66666666667)</f>
        <v>43956.66667</v>
      </c>
      <c r="D90" s="11">
        <f>IFERROR(__xludf.DUMMYFUNCTION("""COMPUTED_VALUE"""),180.76)</f>
        <v>180.76</v>
      </c>
      <c r="E90" s="10">
        <f>IFERROR(__xludf.DUMMYFUNCTION("""COMPUTED_VALUE"""),43956.66666666667)</f>
        <v>43956.66667</v>
      </c>
      <c r="F90" s="11">
        <f>IFERROR(__xludf.DUMMYFUNCTION("""COMPUTED_VALUE"""),51.21)</f>
        <v>51.21</v>
      </c>
      <c r="G90" s="12">
        <f>IFERROR(__xludf.DUMMYFUNCTION("""COMPUTED_VALUE"""),43956.66666666667)</f>
        <v>43956.66667</v>
      </c>
      <c r="H90" s="11">
        <f>IFERROR(__xludf.DUMMYFUNCTION("""COMPUTED_VALUE"""),74.39)</f>
        <v>74.39</v>
      </c>
    </row>
    <row r="91" ht="15.75" customHeight="1">
      <c r="A91" s="10">
        <f>IFERROR(__xludf.DUMMYFUNCTION("""COMPUTED_VALUE"""),43957.66666666667)</f>
        <v>43957.66667</v>
      </c>
      <c r="B91" s="11">
        <f>IFERROR(__xludf.DUMMYFUNCTION("""COMPUTED_VALUE"""),44.75)</f>
        <v>44.75</v>
      </c>
      <c r="C91" s="10">
        <f>IFERROR(__xludf.DUMMYFUNCTION("""COMPUTED_VALUE"""),43957.66666666667)</f>
        <v>43957.66667</v>
      </c>
      <c r="D91" s="11">
        <f>IFERROR(__xludf.DUMMYFUNCTION("""COMPUTED_VALUE"""),182.54)</f>
        <v>182.54</v>
      </c>
      <c r="E91" s="10">
        <f>IFERROR(__xludf.DUMMYFUNCTION("""COMPUTED_VALUE"""),43957.66666666667)</f>
        <v>43957.66667</v>
      </c>
      <c r="F91" s="11">
        <f>IFERROR(__xludf.DUMMYFUNCTION("""COMPUTED_VALUE"""),52.17)</f>
        <v>52.17</v>
      </c>
      <c r="G91" s="12">
        <f>IFERROR(__xludf.DUMMYFUNCTION("""COMPUTED_VALUE"""),43957.66666666667)</f>
        <v>43957.66667</v>
      </c>
      <c r="H91" s="11">
        <f>IFERROR(__xludf.DUMMYFUNCTION("""COMPUTED_VALUE"""),75.16)</f>
        <v>75.16</v>
      </c>
    </row>
    <row r="92" ht="15.75" customHeight="1">
      <c r="A92" s="10">
        <f>IFERROR(__xludf.DUMMYFUNCTION("""COMPUTED_VALUE"""),43958.66666666667)</f>
        <v>43958.66667</v>
      </c>
      <c r="B92" s="11">
        <f>IFERROR(__xludf.DUMMYFUNCTION("""COMPUTED_VALUE"""),44.6)</f>
        <v>44.6</v>
      </c>
      <c r="C92" s="10">
        <f>IFERROR(__xludf.DUMMYFUNCTION("""COMPUTED_VALUE"""),43958.66666666667)</f>
        <v>43958.66667</v>
      </c>
      <c r="D92" s="11">
        <f>IFERROR(__xludf.DUMMYFUNCTION("""COMPUTED_VALUE"""),183.6)</f>
        <v>183.6</v>
      </c>
      <c r="E92" s="10">
        <f>IFERROR(__xludf.DUMMYFUNCTION("""COMPUTED_VALUE"""),43958.66666666667)</f>
        <v>43958.66667</v>
      </c>
      <c r="F92" s="11">
        <f>IFERROR(__xludf.DUMMYFUNCTION("""COMPUTED_VALUE"""),52.0)</f>
        <v>52</v>
      </c>
      <c r="G92" s="12">
        <f>IFERROR(__xludf.DUMMYFUNCTION("""COMPUTED_VALUE"""),43958.66666666667)</f>
        <v>43958.66667</v>
      </c>
      <c r="H92" s="11">
        <f>IFERROR(__xludf.DUMMYFUNCTION("""COMPUTED_VALUE"""),75.94)</f>
        <v>75.94</v>
      </c>
    </row>
    <row r="93" ht="15.75" customHeight="1">
      <c r="A93" s="10">
        <f>IFERROR(__xludf.DUMMYFUNCTION("""COMPUTED_VALUE"""),43959.66666666667)</f>
        <v>43959.66667</v>
      </c>
      <c r="B93" s="11">
        <f>IFERROR(__xludf.DUMMYFUNCTION("""COMPUTED_VALUE"""),46.11)</f>
        <v>46.11</v>
      </c>
      <c r="C93" s="10">
        <f>IFERROR(__xludf.DUMMYFUNCTION("""COMPUTED_VALUE"""),43959.66666666667)</f>
        <v>43959.66667</v>
      </c>
      <c r="D93" s="11">
        <f>IFERROR(__xludf.DUMMYFUNCTION("""COMPUTED_VALUE"""),184.68)</f>
        <v>184.68</v>
      </c>
      <c r="E93" s="10">
        <f>IFERROR(__xludf.DUMMYFUNCTION("""COMPUTED_VALUE"""),43959.66666666667)</f>
        <v>43959.66667</v>
      </c>
      <c r="F93" s="11">
        <f>IFERROR(__xludf.DUMMYFUNCTION("""COMPUTED_VALUE"""),54.63)</f>
        <v>54.63</v>
      </c>
      <c r="G93" s="12">
        <f>IFERROR(__xludf.DUMMYFUNCTION("""COMPUTED_VALUE"""),43959.66666666667)</f>
        <v>43959.66667</v>
      </c>
      <c r="H93" s="11">
        <f>IFERROR(__xludf.DUMMYFUNCTION("""COMPUTED_VALUE"""),77.53)</f>
        <v>77.53</v>
      </c>
    </row>
    <row r="94" ht="15.75" customHeight="1">
      <c r="A94" s="10">
        <f>IFERROR(__xludf.DUMMYFUNCTION("""COMPUTED_VALUE"""),43962.66666666667)</f>
        <v>43962.66667</v>
      </c>
      <c r="B94" s="11">
        <f>IFERROR(__xludf.DUMMYFUNCTION("""COMPUTED_VALUE"""),45.54)</f>
        <v>45.54</v>
      </c>
      <c r="C94" s="10">
        <f>IFERROR(__xludf.DUMMYFUNCTION("""COMPUTED_VALUE"""),43962.66666666667)</f>
        <v>43962.66667</v>
      </c>
      <c r="D94" s="11">
        <f>IFERROR(__xludf.DUMMYFUNCTION("""COMPUTED_VALUE"""),186.74)</f>
        <v>186.74</v>
      </c>
      <c r="E94" s="10">
        <f>IFERROR(__xludf.DUMMYFUNCTION("""COMPUTED_VALUE"""),43962.66666666667)</f>
        <v>43962.66667</v>
      </c>
      <c r="F94" s="11">
        <f>IFERROR(__xludf.DUMMYFUNCTION("""COMPUTED_VALUE"""),54.09)</f>
        <v>54.09</v>
      </c>
      <c r="G94" s="12">
        <f>IFERROR(__xludf.DUMMYFUNCTION("""COMPUTED_VALUE"""),43962.66666666667)</f>
        <v>43962.66667</v>
      </c>
      <c r="H94" s="11">
        <f>IFERROR(__xludf.DUMMYFUNCTION("""COMPUTED_VALUE"""),78.75)</f>
        <v>78.75</v>
      </c>
    </row>
    <row r="95" ht="15.75" customHeight="1">
      <c r="A95" s="10">
        <f>IFERROR(__xludf.DUMMYFUNCTION("""COMPUTED_VALUE"""),43963.66666666667)</f>
        <v>43963.66667</v>
      </c>
      <c r="B95" s="11">
        <f>IFERROR(__xludf.DUMMYFUNCTION("""COMPUTED_VALUE"""),44.82)</f>
        <v>44.82</v>
      </c>
      <c r="C95" s="10">
        <f>IFERROR(__xludf.DUMMYFUNCTION("""COMPUTED_VALUE"""),43963.66666666667)</f>
        <v>43963.66667</v>
      </c>
      <c r="D95" s="11">
        <f>IFERROR(__xludf.DUMMYFUNCTION("""COMPUTED_VALUE"""),182.51)</f>
        <v>182.51</v>
      </c>
      <c r="E95" s="10">
        <f>IFERROR(__xludf.DUMMYFUNCTION("""COMPUTED_VALUE"""),43963.66666666667)</f>
        <v>43963.66667</v>
      </c>
      <c r="F95" s="11">
        <f>IFERROR(__xludf.DUMMYFUNCTION("""COMPUTED_VALUE"""),53.96)</f>
        <v>53.96</v>
      </c>
      <c r="G95" s="12">
        <f>IFERROR(__xludf.DUMMYFUNCTION("""COMPUTED_VALUE"""),43963.66666666667)</f>
        <v>43963.66667</v>
      </c>
      <c r="H95" s="11">
        <f>IFERROR(__xludf.DUMMYFUNCTION("""COMPUTED_VALUE"""),77.85)</f>
        <v>77.85</v>
      </c>
    </row>
    <row r="96" ht="15.75" customHeight="1">
      <c r="A96" s="10">
        <f>IFERROR(__xludf.DUMMYFUNCTION("""COMPUTED_VALUE"""),43964.66666666667)</f>
        <v>43964.66667</v>
      </c>
      <c r="B96" s="11">
        <f>IFERROR(__xludf.DUMMYFUNCTION("""COMPUTED_VALUE"""),43.94)</f>
        <v>43.94</v>
      </c>
      <c r="C96" s="10">
        <f>IFERROR(__xludf.DUMMYFUNCTION("""COMPUTED_VALUE"""),43964.66666666667)</f>
        <v>43964.66667</v>
      </c>
      <c r="D96" s="11">
        <f>IFERROR(__xludf.DUMMYFUNCTION("""COMPUTED_VALUE"""),179.75)</f>
        <v>179.75</v>
      </c>
      <c r="E96" s="10">
        <f>IFERROR(__xludf.DUMMYFUNCTION("""COMPUTED_VALUE"""),43964.66666666667)</f>
        <v>43964.66667</v>
      </c>
      <c r="F96" s="11">
        <f>IFERROR(__xludf.DUMMYFUNCTION("""COMPUTED_VALUE"""),52.73)</f>
        <v>52.73</v>
      </c>
      <c r="G96" s="12">
        <f>IFERROR(__xludf.DUMMYFUNCTION("""COMPUTED_VALUE"""),43964.66666666667)</f>
        <v>43964.66667</v>
      </c>
      <c r="H96" s="11">
        <f>IFERROR(__xludf.DUMMYFUNCTION("""COMPUTED_VALUE"""),76.91)</f>
        <v>76.91</v>
      </c>
    </row>
    <row r="97" ht="15.75" customHeight="1">
      <c r="A97" s="10">
        <f>IFERROR(__xludf.DUMMYFUNCTION("""COMPUTED_VALUE"""),43965.66666666667)</f>
        <v>43965.66667</v>
      </c>
      <c r="B97" s="11">
        <f>IFERROR(__xludf.DUMMYFUNCTION("""COMPUTED_VALUE"""),43.7)</f>
        <v>43.7</v>
      </c>
      <c r="C97" s="10">
        <f>IFERROR(__xludf.DUMMYFUNCTION("""COMPUTED_VALUE"""),43965.66666666667)</f>
        <v>43965.66667</v>
      </c>
      <c r="D97" s="11">
        <f>IFERROR(__xludf.DUMMYFUNCTION("""COMPUTED_VALUE"""),180.53)</f>
        <v>180.53</v>
      </c>
      <c r="E97" s="10">
        <f>IFERROR(__xludf.DUMMYFUNCTION("""COMPUTED_VALUE"""),43965.66666666667)</f>
        <v>43965.66667</v>
      </c>
      <c r="F97" s="11">
        <f>IFERROR(__xludf.DUMMYFUNCTION("""COMPUTED_VALUE"""),53.56)</f>
        <v>53.56</v>
      </c>
      <c r="G97" s="12">
        <f>IFERROR(__xludf.DUMMYFUNCTION("""COMPUTED_VALUE"""),43965.66666666667)</f>
        <v>43965.66667</v>
      </c>
      <c r="H97" s="11">
        <f>IFERROR(__xludf.DUMMYFUNCTION("""COMPUTED_VALUE"""),77.39)</f>
        <v>77.39</v>
      </c>
    </row>
    <row r="98" ht="15.75" customHeight="1">
      <c r="A98" s="10">
        <f>IFERROR(__xludf.DUMMYFUNCTION("""COMPUTED_VALUE"""),43966.66666666667)</f>
        <v>43966.66667</v>
      </c>
      <c r="B98" s="11">
        <f>IFERROR(__xludf.DUMMYFUNCTION("""COMPUTED_VALUE"""),43.26)</f>
        <v>43.26</v>
      </c>
      <c r="C98" s="10">
        <f>IFERROR(__xludf.DUMMYFUNCTION("""COMPUTED_VALUE"""),43966.66666666667)</f>
        <v>43966.66667</v>
      </c>
      <c r="D98" s="11">
        <f>IFERROR(__xludf.DUMMYFUNCTION("""COMPUTED_VALUE"""),183.16)</f>
        <v>183.16</v>
      </c>
      <c r="E98" s="10">
        <f>IFERROR(__xludf.DUMMYFUNCTION("""COMPUTED_VALUE"""),43966.66666666667)</f>
        <v>43966.66667</v>
      </c>
      <c r="F98" s="11">
        <f>IFERROR(__xludf.DUMMYFUNCTION("""COMPUTED_VALUE"""),53.28)</f>
        <v>53.28</v>
      </c>
      <c r="G98" s="12">
        <f>IFERROR(__xludf.DUMMYFUNCTION("""COMPUTED_VALUE"""),43966.66666666667)</f>
        <v>43966.66667</v>
      </c>
      <c r="H98" s="11">
        <f>IFERROR(__xludf.DUMMYFUNCTION("""COMPUTED_VALUE"""),76.93)</f>
        <v>76.93</v>
      </c>
    </row>
    <row r="99" ht="15.75" customHeight="1">
      <c r="A99" s="10">
        <f>IFERROR(__xludf.DUMMYFUNCTION("""COMPUTED_VALUE"""),43969.66666666667)</f>
        <v>43969.66667</v>
      </c>
      <c r="B99" s="11">
        <f>IFERROR(__xludf.DUMMYFUNCTION("""COMPUTED_VALUE"""),44.97)</f>
        <v>44.97</v>
      </c>
      <c r="C99" s="10">
        <f>IFERROR(__xludf.DUMMYFUNCTION("""COMPUTED_VALUE"""),43969.66666666667)</f>
        <v>43969.66667</v>
      </c>
      <c r="D99" s="11">
        <f>IFERROR(__xludf.DUMMYFUNCTION("""COMPUTED_VALUE"""),184.91)</f>
        <v>184.91</v>
      </c>
      <c r="E99" s="10">
        <f>IFERROR(__xludf.DUMMYFUNCTION("""COMPUTED_VALUE"""),43969.66666666667)</f>
        <v>43969.66667</v>
      </c>
      <c r="F99" s="11">
        <f>IFERROR(__xludf.DUMMYFUNCTION("""COMPUTED_VALUE"""),54.24)</f>
        <v>54.24</v>
      </c>
      <c r="G99" s="12">
        <f>IFERROR(__xludf.DUMMYFUNCTION("""COMPUTED_VALUE"""),43969.66666666667)</f>
        <v>43969.66667</v>
      </c>
      <c r="H99" s="11">
        <f>IFERROR(__xludf.DUMMYFUNCTION("""COMPUTED_VALUE"""),78.74)</f>
        <v>78.74</v>
      </c>
    </row>
    <row r="100" ht="15.75" customHeight="1">
      <c r="A100" s="10">
        <f>IFERROR(__xludf.DUMMYFUNCTION("""COMPUTED_VALUE"""),43970.66666666667)</f>
        <v>43970.66667</v>
      </c>
      <c r="B100" s="11">
        <f>IFERROR(__xludf.DUMMYFUNCTION("""COMPUTED_VALUE"""),44.54)</f>
        <v>44.54</v>
      </c>
      <c r="C100" s="10">
        <f>IFERROR(__xludf.DUMMYFUNCTION("""COMPUTED_VALUE"""),43970.66666666667)</f>
        <v>43970.66667</v>
      </c>
      <c r="D100" s="11">
        <f>IFERROR(__xludf.DUMMYFUNCTION("""COMPUTED_VALUE"""),183.63)</f>
        <v>183.63</v>
      </c>
      <c r="E100" s="10">
        <f>IFERROR(__xludf.DUMMYFUNCTION("""COMPUTED_VALUE"""),43970.66666666667)</f>
        <v>43970.66667</v>
      </c>
      <c r="F100" s="11">
        <f>IFERROR(__xludf.DUMMYFUNCTION("""COMPUTED_VALUE"""),53.87)</f>
        <v>53.87</v>
      </c>
      <c r="G100" s="12">
        <f>IFERROR(__xludf.DUMMYFUNCTION("""COMPUTED_VALUE"""),43970.66666666667)</f>
        <v>43970.66667</v>
      </c>
      <c r="H100" s="11">
        <f>IFERROR(__xludf.DUMMYFUNCTION("""COMPUTED_VALUE"""),78.29)</f>
        <v>78.29</v>
      </c>
    </row>
    <row r="101" ht="15.75" customHeight="1">
      <c r="A101" s="10">
        <f>IFERROR(__xludf.DUMMYFUNCTION("""COMPUTED_VALUE"""),43971.66666666667)</f>
        <v>43971.66667</v>
      </c>
      <c r="B101" s="11">
        <f>IFERROR(__xludf.DUMMYFUNCTION("""COMPUTED_VALUE"""),45.89)</f>
        <v>45.89</v>
      </c>
      <c r="C101" s="10">
        <f>IFERROR(__xludf.DUMMYFUNCTION("""COMPUTED_VALUE"""),43971.66666666667)</f>
        <v>43971.66667</v>
      </c>
      <c r="D101" s="11">
        <f>IFERROR(__xludf.DUMMYFUNCTION("""COMPUTED_VALUE"""),185.66)</f>
        <v>185.66</v>
      </c>
      <c r="E101" s="10">
        <f>IFERROR(__xludf.DUMMYFUNCTION("""COMPUTED_VALUE"""),43971.66666666667)</f>
        <v>43971.66667</v>
      </c>
      <c r="F101" s="11">
        <f>IFERROR(__xludf.DUMMYFUNCTION("""COMPUTED_VALUE"""),54.37)</f>
        <v>54.37</v>
      </c>
      <c r="G101" s="12">
        <f>IFERROR(__xludf.DUMMYFUNCTION("""COMPUTED_VALUE"""),43971.66666666667)</f>
        <v>43971.66667</v>
      </c>
      <c r="H101" s="11">
        <f>IFERROR(__xludf.DUMMYFUNCTION("""COMPUTED_VALUE"""),79.81)</f>
        <v>79.81</v>
      </c>
    </row>
    <row r="102" ht="15.75" customHeight="1">
      <c r="A102" s="10">
        <f>IFERROR(__xludf.DUMMYFUNCTION("""COMPUTED_VALUE"""),43972.66666666667)</f>
        <v>43972.66667</v>
      </c>
      <c r="B102" s="11">
        <f>IFERROR(__xludf.DUMMYFUNCTION("""COMPUTED_VALUE"""),45.17)</f>
        <v>45.17</v>
      </c>
      <c r="C102" s="10">
        <f>IFERROR(__xludf.DUMMYFUNCTION("""COMPUTED_VALUE"""),43972.66666666667)</f>
        <v>43972.66667</v>
      </c>
      <c r="D102" s="11">
        <f>IFERROR(__xludf.DUMMYFUNCTION("""COMPUTED_VALUE"""),183.43)</f>
        <v>183.43</v>
      </c>
      <c r="E102" s="10">
        <f>IFERROR(__xludf.DUMMYFUNCTION("""COMPUTED_VALUE"""),43972.66666666667)</f>
        <v>43972.66667</v>
      </c>
      <c r="F102" s="11">
        <f>IFERROR(__xludf.DUMMYFUNCTION("""COMPUTED_VALUE"""),55.17)</f>
        <v>55.17</v>
      </c>
      <c r="G102" s="12">
        <f>IFERROR(__xludf.DUMMYFUNCTION("""COMPUTED_VALUE"""),43972.66666666667)</f>
        <v>43972.66667</v>
      </c>
      <c r="H102" s="11">
        <f>IFERROR(__xludf.DUMMYFUNCTION("""COMPUTED_VALUE"""),79.21)</f>
        <v>79.21</v>
      </c>
    </row>
    <row r="103" ht="15.75" customHeight="1">
      <c r="A103" s="10">
        <f>IFERROR(__xludf.DUMMYFUNCTION("""COMPUTED_VALUE"""),43973.66666666667)</f>
        <v>43973.66667</v>
      </c>
      <c r="B103" s="11">
        <f>IFERROR(__xludf.DUMMYFUNCTION("""COMPUTED_VALUE"""),45.03)</f>
        <v>45.03</v>
      </c>
      <c r="C103" s="10">
        <f>IFERROR(__xludf.DUMMYFUNCTION("""COMPUTED_VALUE"""),43973.66666666667)</f>
        <v>43973.66667</v>
      </c>
      <c r="D103" s="11">
        <f>IFERROR(__xludf.DUMMYFUNCTION("""COMPUTED_VALUE"""),183.51)</f>
        <v>183.51</v>
      </c>
      <c r="E103" s="10">
        <f>IFERROR(__xludf.DUMMYFUNCTION("""COMPUTED_VALUE"""),43973.66666666667)</f>
        <v>43973.66667</v>
      </c>
      <c r="F103" s="11">
        <f>IFERROR(__xludf.DUMMYFUNCTION("""COMPUTED_VALUE"""),54.46)</f>
        <v>54.46</v>
      </c>
      <c r="G103" s="12">
        <f>IFERROR(__xludf.DUMMYFUNCTION("""COMPUTED_VALUE"""),43973.66666666667)</f>
        <v>43973.66667</v>
      </c>
      <c r="H103" s="11">
        <f>IFERROR(__xludf.DUMMYFUNCTION("""COMPUTED_VALUE"""),79.72)</f>
        <v>79.72</v>
      </c>
    </row>
    <row r="104" ht="15.75" customHeight="1">
      <c r="A104" s="10">
        <f>IFERROR(__xludf.DUMMYFUNCTION("""COMPUTED_VALUE"""),43977.66666666667)</f>
        <v>43977.66667</v>
      </c>
      <c r="B104" s="11">
        <f>IFERROR(__xludf.DUMMYFUNCTION("""COMPUTED_VALUE"""),46.09)</f>
        <v>46.09</v>
      </c>
      <c r="C104" s="10">
        <f>IFERROR(__xludf.DUMMYFUNCTION("""COMPUTED_VALUE"""),43977.66666666667)</f>
        <v>43977.66667</v>
      </c>
      <c r="D104" s="11">
        <f>IFERROR(__xludf.DUMMYFUNCTION("""COMPUTED_VALUE"""),181.57)</f>
        <v>181.57</v>
      </c>
      <c r="E104" s="10">
        <f>IFERROR(__xludf.DUMMYFUNCTION("""COMPUTED_VALUE"""),43977.66666666667)</f>
        <v>43977.66667</v>
      </c>
      <c r="F104" s="11">
        <f>IFERROR(__xludf.DUMMYFUNCTION("""COMPUTED_VALUE"""),54.59)</f>
        <v>54.59</v>
      </c>
      <c r="G104" s="12">
        <f>IFERROR(__xludf.DUMMYFUNCTION("""COMPUTED_VALUE"""),43977.66666666667)</f>
        <v>43977.66667</v>
      </c>
      <c r="H104" s="11">
        <f>IFERROR(__xludf.DUMMYFUNCTION("""COMPUTED_VALUE"""),79.18)</f>
        <v>79.18</v>
      </c>
    </row>
    <row r="105" ht="15.75" customHeight="1">
      <c r="A105" s="10">
        <f>IFERROR(__xludf.DUMMYFUNCTION("""COMPUTED_VALUE"""),43978.66666666667)</f>
        <v>43978.66667</v>
      </c>
      <c r="B105" s="11">
        <f>IFERROR(__xludf.DUMMYFUNCTION("""COMPUTED_VALUE"""),46.73)</f>
        <v>46.73</v>
      </c>
      <c r="C105" s="10">
        <f>IFERROR(__xludf.DUMMYFUNCTION("""COMPUTED_VALUE"""),43978.66666666667)</f>
        <v>43978.66667</v>
      </c>
      <c r="D105" s="11">
        <f>IFERROR(__xludf.DUMMYFUNCTION("""COMPUTED_VALUE"""),181.81)</f>
        <v>181.81</v>
      </c>
      <c r="E105" s="10">
        <f>IFERROR(__xludf.DUMMYFUNCTION("""COMPUTED_VALUE"""),43978.66666666667)</f>
        <v>43978.66667</v>
      </c>
      <c r="F105" s="11">
        <f>IFERROR(__xludf.DUMMYFUNCTION("""COMPUTED_VALUE"""),54.68)</f>
        <v>54.68</v>
      </c>
      <c r="G105" s="12">
        <f>IFERROR(__xludf.DUMMYFUNCTION("""COMPUTED_VALUE"""),43978.66666666667)</f>
        <v>43978.66667</v>
      </c>
      <c r="H105" s="11">
        <f>IFERROR(__xludf.DUMMYFUNCTION("""COMPUTED_VALUE"""),79.53)</f>
        <v>79.53</v>
      </c>
    </row>
    <row r="106" ht="15.75" customHeight="1">
      <c r="A106" s="10">
        <f>IFERROR(__xludf.DUMMYFUNCTION("""COMPUTED_VALUE"""),43979.66666666667)</f>
        <v>43979.66667</v>
      </c>
      <c r="B106" s="11">
        <f>IFERROR(__xludf.DUMMYFUNCTION("""COMPUTED_VALUE"""),47.09)</f>
        <v>47.09</v>
      </c>
      <c r="C106" s="10">
        <f>IFERROR(__xludf.DUMMYFUNCTION("""COMPUTED_VALUE"""),43979.66666666667)</f>
        <v>43979.66667</v>
      </c>
      <c r="D106" s="11">
        <f>IFERROR(__xludf.DUMMYFUNCTION("""COMPUTED_VALUE"""),181.4)</f>
        <v>181.4</v>
      </c>
      <c r="E106" s="10">
        <f>IFERROR(__xludf.DUMMYFUNCTION("""COMPUTED_VALUE"""),43979.66666666667)</f>
        <v>43979.66667</v>
      </c>
      <c r="F106" s="11">
        <f>IFERROR(__xludf.DUMMYFUNCTION("""COMPUTED_VALUE"""),53.72)</f>
        <v>53.72</v>
      </c>
      <c r="G106" s="12">
        <f>IFERROR(__xludf.DUMMYFUNCTION("""COMPUTED_VALUE"""),43979.66666666667)</f>
        <v>43979.66667</v>
      </c>
      <c r="H106" s="11">
        <f>IFERROR(__xludf.DUMMYFUNCTION("""COMPUTED_VALUE"""),79.56)</f>
        <v>79.56</v>
      </c>
    </row>
    <row r="107" ht="15.75" customHeight="1">
      <c r="A107" s="10">
        <f>IFERROR(__xludf.DUMMYFUNCTION("""COMPUTED_VALUE"""),43980.66666666667)</f>
        <v>43980.66667</v>
      </c>
      <c r="B107" s="11">
        <f>IFERROR(__xludf.DUMMYFUNCTION("""COMPUTED_VALUE"""),46.68)</f>
        <v>46.68</v>
      </c>
      <c r="C107" s="10">
        <f>IFERROR(__xludf.DUMMYFUNCTION("""COMPUTED_VALUE"""),43980.66666666667)</f>
        <v>43980.66667</v>
      </c>
      <c r="D107" s="11">
        <f>IFERROR(__xludf.DUMMYFUNCTION("""COMPUTED_VALUE"""),183.25)</f>
        <v>183.25</v>
      </c>
      <c r="E107" s="10">
        <f>IFERROR(__xludf.DUMMYFUNCTION("""COMPUTED_VALUE"""),43980.66666666667)</f>
        <v>43980.66667</v>
      </c>
      <c r="F107" s="11">
        <f>IFERROR(__xludf.DUMMYFUNCTION("""COMPUTED_VALUE"""),55.67)</f>
        <v>55.67</v>
      </c>
      <c r="G107" s="12">
        <f>IFERROR(__xludf.DUMMYFUNCTION("""COMPUTED_VALUE"""),43980.66666666667)</f>
        <v>43980.66667</v>
      </c>
      <c r="H107" s="11">
        <f>IFERROR(__xludf.DUMMYFUNCTION("""COMPUTED_VALUE"""),79.49)</f>
        <v>79.49</v>
      </c>
    </row>
    <row r="108" ht="15.75" customHeight="1">
      <c r="A108" s="10">
        <f>IFERROR(__xludf.DUMMYFUNCTION("""COMPUTED_VALUE"""),43983.66666666667)</f>
        <v>43983.66667</v>
      </c>
      <c r="B108" s="11">
        <f>IFERROR(__xludf.DUMMYFUNCTION("""COMPUTED_VALUE"""),46.99)</f>
        <v>46.99</v>
      </c>
      <c r="C108" s="10">
        <f>IFERROR(__xludf.DUMMYFUNCTION("""COMPUTED_VALUE"""),43983.66666666667)</f>
        <v>43983.66667</v>
      </c>
      <c r="D108" s="11">
        <f>IFERROR(__xludf.DUMMYFUNCTION("""COMPUTED_VALUE"""),182.83)</f>
        <v>182.83</v>
      </c>
      <c r="E108" s="10">
        <f>IFERROR(__xludf.DUMMYFUNCTION("""COMPUTED_VALUE"""),43983.66666666667)</f>
        <v>43983.66667</v>
      </c>
      <c r="F108" s="11">
        <f>IFERROR(__xludf.DUMMYFUNCTION("""COMPUTED_VALUE"""),59.87)</f>
        <v>59.87</v>
      </c>
      <c r="G108" s="12">
        <f>IFERROR(__xludf.DUMMYFUNCTION("""COMPUTED_VALUE"""),43983.66666666667)</f>
        <v>43983.66667</v>
      </c>
      <c r="H108" s="11">
        <f>IFERROR(__xludf.DUMMYFUNCTION("""COMPUTED_VALUE"""),80.46)</f>
        <v>80.46</v>
      </c>
    </row>
    <row r="109" ht="15.75" customHeight="1">
      <c r="A109" s="10">
        <f>IFERROR(__xludf.DUMMYFUNCTION("""COMPUTED_VALUE"""),43984.66666666667)</f>
        <v>43984.66667</v>
      </c>
      <c r="B109" s="11">
        <f>IFERROR(__xludf.DUMMYFUNCTION("""COMPUTED_VALUE"""),46.9)</f>
        <v>46.9</v>
      </c>
      <c r="C109" s="10">
        <f>IFERROR(__xludf.DUMMYFUNCTION("""COMPUTED_VALUE"""),43984.66666666667)</f>
        <v>43984.66667</v>
      </c>
      <c r="D109" s="11">
        <f>IFERROR(__xludf.DUMMYFUNCTION("""COMPUTED_VALUE"""),184.91)</f>
        <v>184.91</v>
      </c>
      <c r="E109" s="10">
        <f>IFERROR(__xludf.DUMMYFUNCTION("""COMPUTED_VALUE"""),43984.66666666667)</f>
        <v>43984.66667</v>
      </c>
      <c r="F109" s="11">
        <f>IFERROR(__xludf.DUMMYFUNCTION("""COMPUTED_VALUE"""),58.77)</f>
        <v>58.77</v>
      </c>
      <c r="G109" s="12">
        <f>IFERROR(__xludf.DUMMYFUNCTION("""COMPUTED_VALUE"""),43984.66666666667)</f>
        <v>43984.66667</v>
      </c>
      <c r="H109" s="11">
        <f>IFERROR(__xludf.DUMMYFUNCTION("""COMPUTED_VALUE"""),80.83)</f>
        <v>80.83</v>
      </c>
    </row>
    <row r="110" ht="15.75" customHeight="1">
      <c r="A110" s="10">
        <f>IFERROR(__xludf.DUMMYFUNCTION("""COMPUTED_VALUE"""),43985.66666666667)</f>
        <v>43985.66667</v>
      </c>
      <c r="B110" s="11">
        <f>IFERROR(__xludf.DUMMYFUNCTION("""COMPUTED_VALUE"""),47.9)</f>
        <v>47.9</v>
      </c>
      <c r="C110" s="10">
        <f>IFERROR(__xludf.DUMMYFUNCTION("""COMPUTED_VALUE"""),43985.66666666667)</f>
        <v>43985.66667</v>
      </c>
      <c r="D110" s="11">
        <f>IFERROR(__xludf.DUMMYFUNCTION("""COMPUTED_VALUE"""),185.36)</f>
        <v>185.36</v>
      </c>
      <c r="E110" s="10">
        <f>IFERROR(__xludf.DUMMYFUNCTION("""COMPUTED_VALUE"""),43985.66666666667)</f>
        <v>43985.66667</v>
      </c>
      <c r="F110" s="11">
        <f>IFERROR(__xludf.DUMMYFUNCTION("""COMPUTED_VALUE"""),58.86)</f>
        <v>58.86</v>
      </c>
      <c r="G110" s="12">
        <f>IFERROR(__xludf.DUMMYFUNCTION("""COMPUTED_VALUE"""),43985.66666666667)</f>
        <v>43985.66667</v>
      </c>
      <c r="H110" s="11">
        <f>IFERROR(__xludf.DUMMYFUNCTION("""COMPUTED_VALUE"""),81.28)</f>
        <v>81.28</v>
      </c>
    </row>
    <row r="111" ht="15.75" customHeight="1">
      <c r="A111" s="10">
        <f>IFERROR(__xludf.DUMMYFUNCTION("""COMPUTED_VALUE"""),43986.66666666667)</f>
        <v>43986.66667</v>
      </c>
      <c r="B111" s="11">
        <f>IFERROR(__xludf.DUMMYFUNCTION("""COMPUTED_VALUE"""),47.92)</f>
        <v>47.92</v>
      </c>
      <c r="C111" s="10">
        <f>IFERROR(__xludf.DUMMYFUNCTION("""COMPUTED_VALUE"""),43986.66666666667)</f>
        <v>43986.66667</v>
      </c>
      <c r="D111" s="11">
        <f>IFERROR(__xludf.DUMMYFUNCTION("""COMPUTED_VALUE"""),182.92)</f>
        <v>182.92</v>
      </c>
      <c r="E111" s="10">
        <f>IFERROR(__xludf.DUMMYFUNCTION("""COMPUTED_VALUE"""),43986.66666666667)</f>
        <v>43986.66667</v>
      </c>
      <c r="F111" s="11">
        <f>IFERROR(__xludf.DUMMYFUNCTION("""COMPUTED_VALUE"""),57.63)</f>
        <v>57.63</v>
      </c>
      <c r="G111" s="12">
        <f>IFERROR(__xludf.DUMMYFUNCTION("""COMPUTED_VALUE"""),43986.66666666667)</f>
        <v>43986.66667</v>
      </c>
      <c r="H111" s="11">
        <f>IFERROR(__xludf.DUMMYFUNCTION("""COMPUTED_VALUE"""),80.58)</f>
        <v>80.58</v>
      </c>
    </row>
    <row r="112" ht="15.75" customHeight="1">
      <c r="A112" s="10">
        <f>IFERROR(__xludf.DUMMYFUNCTION("""COMPUTED_VALUE"""),43987.66666666667)</f>
        <v>43987.66667</v>
      </c>
      <c r="B112" s="11">
        <f>IFERROR(__xludf.DUMMYFUNCTION("""COMPUTED_VALUE"""),49.09)</f>
        <v>49.09</v>
      </c>
      <c r="C112" s="10">
        <f>IFERROR(__xludf.DUMMYFUNCTION("""COMPUTED_VALUE"""),43987.66666666667)</f>
        <v>43987.66667</v>
      </c>
      <c r="D112" s="11">
        <f>IFERROR(__xludf.DUMMYFUNCTION("""COMPUTED_VALUE"""),187.2)</f>
        <v>187.2</v>
      </c>
      <c r="E112" s="10">
        <f>IFERROR(__xludf.DUMMYFUNCTION("""COMPUTED_VALUE"""),43987.66666666667)</f>
        <v>43987.66667</v>
      </c>
      <c r="F112" s="11">
        <f>IFERROR(__xludf.DUMMYFUNCTION("""COMPUTED_VALUE"""),59.04)</f>
        <v>59.04</v>
      </c>
      <c r="G112" s="12">
        <f>IFERROR(__xludf.DUMMYFUNCTION("""COMPUTED_VALUE"""),43987.66666666667)</f>
        <v>43987.66667</v>
      </c>
      <c r="H112" s="11">
        <f>IFERROR(__xludf.DUMMYFUNCTION("""COMPUTED_VALUE"""),82.88)</f>
        <v>82.88</v>
      </c>
    </row>
    <row r="113" ht="15.75" customHeight="1">
      <c r="A113" s="10">
        <f>IFERROR(__xludf.DUMMYFUNCTION("""COMPUTED_VALUE"""),43990.66666666667)</f>
        <v>43990.66667</v>
      </c>
      <c r="B113" s="11">
        <f>IFERROR(__xludf.DUMMYFUNCTION("""COMPUTED_VALUE"""),49.85)</f>
        <v>49.85</v>
      </c>
      <c r="C113" s="10">
        <f>IFERROR(__xludf.DUMMYFUNCTION("""COMPUTED_VALUE"""),43990.66666666667)</f>
        <v>43990.66667</v>
      </c>
      <c r="D113" s="11">
        <f>IFERROR(__xludf.DUMMYFUNCTION("""COMPUTED_VALUE"""),188.36)</f>
        <v>188.36</v>
      </c>
      <c r="E113" s="10">
        <f>IFERROR(__xludf.DUMMYFUNCTION("""COMPUTED_VALUE"""),43990.66666666667)</f>
        <v>43990.66667</v>
      </c>
      <c r="F113" s="11">
        <f>IFERROR(__xludf.DUMMYFUNCTION("""COMPUTED_VALUE"""),63.33)</f>
        <v>63.33</v>
      </c>
      <c r="G113" s="12">
        <f>IFERROR(__xludf.DUMMYFUNCTION("""COMPUTED_VALUE"""),43990.66666666667)</f>
        <v>43990.66667</v>
      </c>
      <c r="H113" s="11">
        <f>IFERROR(__xludf.DUMMYFUNCTION("""COMPUTED_VALUE"""),83.37)</f>
        <v>83.37</v>
      </c>
    </row>
    <row r="114" ht="15.75" customHeight="1">
      <c r="A114" s="10">
        <f>IFERROR(__xludf.DUMMYFUNCTION("""COMPUTED_VALUE"""),43991.66666666667)</f>
        <v>43991.66667</v>
      </c>
      <c r="B114" s="11">
        <f>IFERROR(__xludf.DUMMYFUNCTION("""COMPUTED_VALUE"""),49.0)</f>
        <v>49</v>
      </c>
      <c r="C114" s="10">
        <f>IFERROR(__xludf.DUMMYFUNCTION("""COMPUTED_VALUE"""),43991.66666666667)</f>
        <v>43991.66667</v>
      </c>
      <c r="D114" s="11">
        <f>IFERROR(__xludf.DUMMYFUNCTION("""COMPUTED_VALUE"""),189.8)</f>
        <v>189.8</v>
      </c>
      <c r="E114" s="10">
        <f>IFERROR(__xludf.DUMMYFUNCTION("""COMPUTED_VALUE"""),43991.66666666667)</f>
        <v>43991.66667</v>
      </c>
      <c r="F114" s="11">
        <f>IFERROR(__xludf.DUMMYFUNCTION("""COMPUTED_VALUE"""),62.71)</f>
        <v>62.71</v>
      </c>
      <c r="G114" s="12">
        <f>IFERROR(__xludf.DUMMYFUNCTION("""COMPUTED_VALUE"""),43991.66666666667)</f>
        <v>43991.66667</v>
      </c>
      <c r="H114" s="11">
        <f>IFERROR(__xludf.DUMMYFUNCTION("""COMPUTED_VALUE"""),86.0)</f>
        <v>86</v>
      </c>
    </row>
    <row r="115" ht="15.75" customHeight="1">
      <c r="A115" s="10">
        <f>IFERROR(__xludf.DUMMYFUNCTION("""COMPUTED_VALUE"""),43992.66666666667)</f>
        <v>43992.66667</v>
      </c>
      <c r="B115" s="11">
        <f>IFERROR(__xludf.DUMMYFUNCTION("""COMPUTED_VALUE"""),48.62)</f>
        <v>48.62</v>
      </c>
      <c r="C115" s="10">
        <f>IFERROR(__xludf.DUMMYFUNCTION("""COMPUTED_VALUE"""),43992.66666666667)</f>
        <v>43992.66667</v>
      </c>
      <c r="D115" s="11">
        <f>IFERROR(__xludf.DUMMYFUNCTION("""COMPUTED_VALUE"""),196.84)</f>
        <v>196.84</v>
      </c>
      <c r="E115" s="10">
        <f>IFERROR(__xludf.DUMMYFUNCTION("""COMPUTED_VALUE"""),43992.66666666667)</f>
        <v>43992.66667</v>
      </c>
      <c r="F115" s="11">
        <f>IFERROR(__xludf.DUMMYFUNCTION("""COMPUTED_VALUE"""),68.34)</f>
        <v>68.34</v>
      </c>
      <c r="G115" s="12">
        <f>IFERROR(__xludf.DUMMYFUNCTION("""COMPUTED_VALUE"""),43992.66666666667)</f>
        <v>43992.66667</v>
      </c>
      <c r="H115" s="11">
        <f>IFERROR(__xludf.DUMMYFUNCTION("""COMPUTED_VALUE"""),88.21)</f>
        <v>88.21</v>
      </c>
    </row>
    <row r="116" ht="15.75" customHeight="1">
      <c r="A116" s="10">
        <f>IFERROR(__xludf.DUMMYFUNCTION("""COMPUTED_VALUE"""),43993.66666666667)</f>
        <v>43993.66667</v>
      </c>
      <c r="B116" s="11">
        <f>IFERROR(__xludf.DUMMYFUNCTION("""COMPUTED_VALUE"""),45.54)</f>
        <v>45.54</v>
      </c>
      <c r="C116" s="10">
        <f>IFERROR(__xludf.DUMMYFUNCTION("""COMPUTED_VALUE"""),43993.66666666667)</f>
        <v>43993.66667</v>
      </c>
      <c r="D116" s="11">
        <f>IFERROR(__xludf.DUMMYFUNCTION("""COMPUTED_VALUE"""),186.27)</f>
        <v>186.27</v>
      </c>
      <c r="E116" s="10">
        <f>IFERROR(__xludf.DUMMYFUNCTION("""COMPUTED_VALUE"""),43993.66666666667)</f>
        <v>43993.66667</v>
      </c>
      <c r="F116" s="11">
        <f>IFERROR(__xludf.DUMMYFUNCTION("""COMPUTED_VALUE"""),64.86)</f>
        <v>64.86</v>
      </c>
      <c r="G116" s="12">
        <f>IFERROR(__xludf.DUMMYFUNCTION("""COMPUTED_VALUE"""),43993.66666666667)</f>
        <v>43993.66667</v>
      </c>
      <c r="H116" s="11">
        <f>IFERROR(__xludf.DUMMYFUNCTION("""COMPUTED_VALUE"""),83.98)</f>
        <v>83.98</v>
      </c>
    </row>
    <row r="117" ht="15.75" customHeight="1">
      <c r="A117" s="10">
        <f>IFERROR(__xludf.DUMMYFUNCTION("""COMPUTED_VALUE"""),43994.66666666667)</f>
        <v>43994.66667</v>
      </c>
      <c r="B117" s="11">
        <f>IFERROR(__xludf.DUMMYFUNCTION("""COMPUTED_VALUE"""),45.6)</f>
        <v>45.6</v>
      </c>
      <c r="C117" s="10">
        <f>IFERROR(__xludf.DUMMYFUNCTION("""COMPUTED_VALUE"""),43994.66666666667)</f>
        <v>43994.66667</v>
      </c>
      <c r="D117" s="11">
        <f>IFERROR(__xludf.DUMMYFUNCTION("""COMPUTED_VALUE"""),187.74)</f>
        <v>187.74</v>
      </c>
      <c r="E117" s="10">
        <f>IFERROR(__xludf.DUMMYFUNCTION("""COMPUTED_VALUE"""),43994.66666666667)</f>
        <v>43994.66667</v>
      </c>
      <c r="F117" s="11">
        <f>IFERROR(__xludf.DUMMYFUNCTION("""COMPUTED_VALUE"""),62.35)</f>
        <v>62.35</v>
      </c>
      <c r="G117" s="12">
        <f>IFERROR(__xludf.DUMMYFUNCTION("""COMPUTED_VALUE"""),43994.66666666667)</f>
        <v>43994.66667</v>
      </c>
      <c r="H117" s="11">
        <f>IFERROR(__xludf.DUMMYFUNCTION("""COMPUTED_VALUE"""),84.7)</f>
        <v>84.7</v>
      </c>
    </row>
    <row r="118" ht="15.75" customHeight="1">
      <c r="A118" s="10">
        <f>IFERROR(__xludf.DUMMYFUNCTION("""COMPUTED_VALUE"""),43997.66666666667)</f>
        <v>43997.66667</v>
      </c>
      <c r="B118" s="11">
        <f>IFERROR(__xludf.DUMMYFUNCTION("""COMPUTED_VALUE"""),46.3)</f>
        <v>46.3</v>
      </c>
      <c r="C118" s="10">
        <f>IFERROR(__xludf.DUMMYFUNCTION("""COMPUTED_VALUE"""),43997.66666666667)</f>
        <v>43997.66667</v>
      </c>
      <c r="D118" s="11">
        <f>IFERROR(__xludf.DUMMYFUNCTION("""COMPUTED_VALUE"""),188.94)</f>
        <v>188.94</v>
      </c>
      <c r="E118" s="10">
        <f>IFERROR(__xludf.DUMMYFUNCTION("""COMPUTED_VALUE"""),43997.66666666667)</f>
        <v>43997.66667</v>
      </c>
      <c r="F118" s="11">
        <f>IFERROR(__xludf.DUMMYFUNCTION("""COMPUTED_VALUE"""),66.06)</f>
        <v>66.06</v>
      </c>
      <c r="G118" s="12">
        <f>IFERROR(__xludf.DUMMYFUNCTION("""COMPUTED_VALUE"""),43997.66666666667)</f>
        <v>43997.66667</v>
      </c>
      <c r="H118" s="11">
        <f>IFERROR(__xludf.DUMMYFUNCTION("""COMPUTED_VALUE"""),85.75)</f>
        <v>85.75</v>
      </c>
    </row>
    <row r="119" ht="15.75" customHeight="1">
      <c r="A119" s="10">
        <f>IFERROR(__xludf.DUMMYFUNCTION("""COMPUTED_VALUE"""),43998.66666666667)</f>
        <v>43998.66667</v>
      </c>
      <c r="B119" s="11">
        <f>IFERROR(__xludf.DUMMYFUNCTION("""COMPUTED_VALUE"""),46.77)</f>
        <v>46.77</v>
      </c>
      <c r="C119" s="10">
        <f>IFERROR(__xludf.DUMMYFUNCTION("""COMPUTED_VALUE"""),43998.66666666667)</f>
        <v>43998.66667</v>
      </c>
      <c r="D119" s="11">
        <f>IFERROR(__xludf.DUMMYFUNCTION("""COMPUTED_VALUE"""),193.57)</f>
        <v>193.57</v>
      </c>
      <c r="E119" s="10">
        <f>IFERROR(__xludf.DUMMYFUNCTION("""COMPUTED_VALUE"""),43998.66666666667)</f>
        <v>43998.66667</v>
      </c>
      <c r="F119" s="11">
        <f>IFERROR(__xludf.DUMMYFUNCTION("""COMPUTED_VALUE"""),65.48)</f>
        <v>65.48</v>
      </c>
      <c r="G119" s="12">
        <f>IFERROR(__xludf.DUMMYFUNCTION("""COMPUTED_VALUE"""),43998.66666666667)</f>
        <v>43998.66667</v>
      </c>
      <c r="H119" s="11">
        <f>IFERROR(__xludf.DUMMYFUNCTION("""COMPUTED_VALUE"""),88.02)</f>
        <v>88.02</v>
      </c>
    </row>
    <row r="120" ht="15.75" customHeight="1">
      <c r="A120" s="10">
        <f>IFERROR(__xludf.DUMMYFUNCTION("""COMPUTED_VALUE"""),43999.66666666667)</f>
        <v>43999.66667</v>
      </c>
      <c r="B120" s="11">
        <f>IFERROR(__xludf.DUMMYFUNCTION("""COMPUTED_VALUE"""),46.58)</f>
        <v>46.58</v>
      </c>
      <c r="C120" s="10">
        <f>IFERROR(__xludf.DUMMYFUNCTION("""COMPUTED_VALUE"""),43999.66666666667)</f>
        <v>43999.66667</v>
      </c>
      <c r="D120" s="11">
        <f>IFERROR(__xludf.DUMMYFUNCTION("""COMPUTED_VALUE"""),194.24)</f>
        <v>194.24</v>
      </c>
      <c r="E120" s="10">
        <f>IFERROR(__xludf.DUMMYFUNCTION("""COMPUTED_VALUE"""),43999.66666666667)</f>
        <v>43999.66667</v>
      </c>
      <c r="F120" s="11">
        <f>IFERROR(__xludf.DUMMYFUNCTION("""COMPUTED_VALUE"""),66.12)</f>
        <v>66.12</v>
      </c>
      <c r="G120" s="12">
        <f>IFERROR(__xludf.DUMMYFUNCTION("""COMPUTED_VALUE"""),43999.66666666667)</f>
        <v>43999.66667</v>
      </c>
      <c r="H120" s="11">
        <f>IFERROR(__xludf.DUMMYFUNCTION("""COMPUTED_VALUE"""),87.9)</f>
        <v>87.9</v>
      </c>
    </row>
    <row r="121" ht="15.75" customHeight="1">
      <c r="A121" s="10">
        <f>IFERROR(__xludf.DUMMYFUNCTION("""COMPUTED_VALUE"""),44000.66666666667)</f>
        <v>44000.66667</v>
      </c>
      <c r="B121" s="11">
        <f>IFERROR(__xludf.DUMMYFUNCTION("""COMPUTED_VALUE"""),46.99)</f>
        <v>46.99</v>
      </c>
      <c r="C121" s="10">
        <f>IFERROR(__xludf.DUMMYFUNCTION("""COMPUTED_VALUE"""),44000.66666666667)</f>
        <v>44000.66667</v>
      </c>
      <c r="D121" s="11">
        <f>IFERROR(__xludf.DUMMYFUNCTION("""COMPUTED_VALUE"""),196.32)</f>
        <v>196.32</v>
      </c>
      <c r="E121" s="10">
        <f>IFERROR(__xludf.DUMMYFUNCTION("""COMPUTED_VALUE"""),44000.66666666667)</f>
        <v>44000.66667</v>
      </c>
      <c r="F121" s="11">
        <f>IFERROR(__xludf.DUMMYFUNCTION("""COMPUTED_VALUE"""),66.93)</f>
        <v>66.93</v>
      </c>
      <c r="G121" s="12">
        <f>IFERROR(__xludf.DUMMYFUNCTION("""COMPUTED_VALUE"""),44000.66666666667)</f>
        <v>44000.66667</v>
      </c>
      <c r="H121" s="11">
        <f>IFERROR(__xludf.DUMMYFUNCTION("""COMPUTED_VALUE"""),87.93)</f>
        <v>87.93</v>
      </c>
    </row>
    <row r="122" ht="15.75" customHeight="1">
      <c r="A122" s="10">
        <f>IFERROR(__xludf.DUMMYFUNCTION("""COMPUTED_VALUE"""),44001.66666666667)</f>
        <v>44001.66667</v>
      </c>
      <c r="B122" s="11">
        <f>IFERROR(__xludf.DUMMYFUNCTION("""COMPUTED_VALUE"""),46.02)</f>
        <v>46.02</v>
      </c>
      <c r="C122" s="10">
        <f>IFERROR(__xludf.DUMMYFUNCTION("""COMPUTED_VALUE"""),44001.66666666667)</f>
        <v>44001.66667</v>
      </c>
      <c r="D122" s="11">
        <f>IFERROR(__xludf.DUMMYFUNCTION("""COMPUTED_VALUE"""),195.15)</f>
        <v>195.15</v>
      </c>
      <c r="E122" s="10">
        <f>IFERROR(__xludf.DUMMYFUNCTION("""COMPUTED_VALUE"""),44001.66666666667)</f>
        <v>44001.66667</v>
      </c>
      <c r="F122" s="11">
        <f>IFERROR(__xludf.DUMMYFUNCTION("""COMPUTED_VALUE"""),66.73)</f>
        <v>66.73</v>
      </c>
      <c r="G122" s="12">
        <f>IFERROR(__xludf.DUMMYFUNCTION("""COMPUTED_VALUE"""),44001.66666666667)</f>
        <v>44001.66667</v>
      </c>
      <c r="H122" s="11">
        <f>IFERROR(__xludf.DUMMYFUNCTION("""COMPUTED_VALUE"""),87.43)</f>
        <v>87.43</v>
      </c>
    </row>
    <row r="123" ht="15.75" customHeight="1">
      <c r="A123" s="10">
        <f>IFERROR(__xludf.DUMMYFUNCTION("""COMPUTED_VALUE"""),44004.66666666667)</f>
        <v>44004.66667</v>
      </c>
      <c r="B123" s="11">
        <f>IFERROR(__xludf.DUMMYFUNCTION("""COMPUTED_VALUE"""),45.74)</f>
        <v>45.74</v>
      </c>
      <c r="C123" s="10">
        <f>IFERROR(__xludf.DUMMYFUNCTION("""COMPUTED_VALUE"""),44004.66666666667)</f>
        <v>44004.66667</v>
      </c>
      <c r="D123" s="11">
        <f>IFERROR(__xludf.DUMMYFUNCTION("""COMPUTED_VALUE"""),200.57)</f>
        <v>200.57</v>
      </c>
      <c r="E123" s="10">
        <f>IFERROR(__xludf.DUMMYFUNCTION("""COMPUTED_VALUE"""),44004.66666666667)</f>
        <v>44004.66667</v>
      </c>
      <c r="F123" s="11">
        <f>IFERROR(__xludf.DUMMYFUNCTION("""COMPUTED_VALUE"""),66.29)</f>
        <v>66.29</v>
      </c>
      <c r="G123" s="12">
        <f>IFERROR(__xludf.DUMMYFUNCTION("""COMPUTED_VALUE"""),44004.66666666667)</f>
        <v>44004.66667</v>
      </c>
      <c r="H123" s="11">
        <f>IFERROR(__xludf.DUMMYFUNCTION("""COMPUTED_VALUE"""),89.72)</f>
        <v>89.72</v>
      </c>
    </row>
    <row r="124" ht="15.75" customHeight="1">
      <c r="A124" s="10">
        <f>IFERROR(__xludf.DUMMYFUNCTION("""COMPUTED_VALUE"""),44005.66666666667)</f>
        <v>44005.66667</v>
      </c>
      <c r="B124" s="11">
        <f>IFERROR(__xludf.DUMMYFUNCTION("""COMPUTED_VALUE"""),45.64)</f>
        <v>45.64</v>
      </c>
      <c r="C124" s="10">
        <f>IFERROR(__xludf.DUMMYFUNCTION("""COMPUTED_VALUE"""),44005.66666666667)</f>
        <v>44005.66667</v>
      </c>
      <c r="D124" s="11">
        <f>IFERROR(__xludf.DUMMYFUNCTION("""COMPUTED_VALUE"""),201.91)</f>
        <v>201.91</v>
      </c>
      <c r="E124" s="10">
        <f>IFERROR(__xludf.DUMMYFUNCTION("""COMPUTED_VALUE"""),44005.66666666667)</f>
        <v>44005.66667</v>
      </c>
      <c r="F124" s="11">
        <f>IFERROR(__xludf.DUMMYFUNCTION("""COMPUTED_VALUE"""),66.79)</f>
        <v>66.79</v>
      </c>
      <c r="G124" s="12">
        <f>IFERROR(__xludf.DUMMYFUNCTION("""COMPUTED_VALUE"""),44005.66666666667)</f>
        <v>44005.66667</v>
      </c>
      <c r="H124" s="11">
        <f>IFERROR(__xludf.DUMMYFUNCTION("""COMPUTED_VALUE"""),91.63)</f>
        <v>91.63</v>
      </c>
    </row>
    <row r="125" ht="15.75" customHeight="1">
      <c r="A125" s="10">
        <f>IFERROR(__xludf.DUMMYFUNCTION("""COMPUTED_VALUE"""),44006.66666666667)</f>
        <v>44006.66667</v>
      </c>
      <c r="B125" s="11">
        <f>IFERROR(__xludf.DUMMYFUNCTION("""COMPUTED_VALUE"""),44.65)</f>
        <v>44.65</v>
      </c>
      <c r="C125" s="10">
        <f>IFERROR(__xludf.DUMMYFUNCTION("""COMPUTED_VALUE"""),44006.66666666667)</f>
        <v>44006.66667</v>
      </c>
      <c r="D125" s="11">
        <f>IFERROR(__xludf.DUMMYFUNCTION("""COMPUTED_VALUE"""),197.84)</f>
        <v>197.84</v>
      </c>
      <c r="E125" s="10">
        <f>IFERROR(__xludf.DUMMYFUNCTION("""COMPUTED_VALUE"""),44006.66666666667)</f>
        <v>44006.66667</v>
      </c>
      <c r="F125" s="11">
        <f>IFERROR(__xludf.DUMMYFUNCTION("""COMPUTED_VALUE"""),64.06)</f>
        <v>64.06</v>
      </c>
      <c r="G125" s="12">
        <f>IFERROR(__xludf.DUMMYFUNCTION("""COMPUTED_VALUE"""),44006.66666666667)</f>
        <v>44006.66667</v>
      </c>
      <c r="H125" s="11">
        <f>IFERROR(__xludf.DUMMYFUNCTION("""COMPUTED_VALUE"""),90.02)</f>
        <v>90.02</v>
      </c>
    </row>
    <row r="126" ht="15.75" customHeight="1">
      <c r="A126" s="10">
        <f>IFERROR(__xludf.DUMMYFUNCTION("""COMPUTED_VALUE"""),44007.66666666667)</f>
        <v>44007.66667</v>
      </c>
      <c r="B126" s="11">
        <f>IFERROR(__xludf.DUMMYFUNCTION("""COMPUTED_VALUE"""),44.93)</f>
        <v>44.93</v>
      </c>
      <c r="C126" s="10">
        <f>IFERROR(__xludf.DUMMYFUNCTION("""COMPUTED_VALUE"""),44007.66666666667)</f>
        <v>44007.66667</v>
      </c>
      <c r="D126" s="11">
        <f>IFERROR(__xludf.DUMMYFUNCTION("""COMPUTED_VALUE"""),200.34)</f>
        <v>200.34</v>
      </c>
      <c r="E126" s="10">
        <f>IFERROR(__xludf.DUMMYFUNCTION("""COMPUTED_VALUE"""),44007.66666666667)</f>
        <v>44007.66667</v>
      </c>
      <c r="F126" s="11">
        <f>IFERROR(__xludf.DUMMYFUNCTION("""COMPUTED_VALUE"""),65.73)</f>
        <v>65.73</v>
      </c>
      <c r="G126" s="12">
        <f>IFERROR(__xludf.DUMMYFUNCTION("""COMPUTED_VALUE"""),44007.66666666667)</f>
        <v>44007.66667</v>
      </c>
      <c r="H126" s="11">
        <f>IFERROR(__xludf.DUMMYFUNCTION("""COMPUTED_VALUE"""),91.21)</f>
        <v>91.21</v>
      </c>
    </row>
    <row r="127" ht="15.75" customHeight="1">
      <c r="A127" s="10">
        <f>IFERROR(__xludf.DUMMYFUNCTION("""COMPUTED_VALUE"""),44008.66666666667)</f>
        <v>44008.66667</v>
      </c>
      <c r="B127" s="11">
        <f>IFERROR(__xludf.DUMMYFUNCTION("""COMPUTED_VALUE"""),43.57)</f>
        <v>43.57</v>
      </c>
      <c r="C127" s="10">
        <f>IFERROR(__xludf.DUMMYFUNCTION("""COMPUTED_VALUE"""),44008.66666666667)</f>
        <v>44008.66667</v>
      </c>
      <c r="D127" s="11">
        <f>IFERROR(__xludf.DUMMYFUNCTION("""COMPUTED_VALUE"""),196.33)</f>
        <v>196.33</v>
      </c>
      <c r="E127" s="10">
        <f>IFERROR(__xludf.DUMMYFUNCTION("""COMPUTED_VALUE"""),44008.66666666667)</f>
        <v>44008.66667</v>
      </c>
      <c r="F127" s="11">
        <f>IFERROR(__xludf.DUMMYFUNCTION("""COMPUTED_VALUE"""),63.98)</f>
        <v>63.98</v>
      </c>
      <c r="G127" s="12">
        <f>IFERROR(__xludf.DUMMYFUNCTION("""COMPUTED_VALUE"""),44008.66666666667)</f>
        <v>44008.66667</v>
      </c>
      <c r="H127" s="11">
        <f>IFERROR(__xludf.DUMMYFUNCTION("""COMPUTED_VALUE"""),88.41)</f>
        <v>88.41</v>
      </c>
    </row>
    <row r="128" ht="15.75" customHeight="1">
      <c r="A128" s="10">
        <f>IFERROR(__xludf.DUMMYFUNCTION("""COMPUTED_VALUE"""),44011.66666666667)</f>
        <v>44011.66667</v>
      </c>
      <c r="B128" s="11">
        <f>IFERROR(__xludf.DUMMYFUNCTION("""COMPUTED_VALUE"""),44.36)</f>
        <v>44.36</v>
      </c>
      <c r="C128" s="10">
        <f>IFERROR(__xludf.DUMMYFUNCTION("""COMPUTED_VALUE"""),44011.66666666667)</f>
        <v>44011.66667</v>
      </c>
      <c r="D128" s="11">
        <f>IFERROR(__xludf.DUMMYFUNCTION("""COMPUTED_VALUE"""),198.44)</f>
        <v>198.44</v>
      </c>
      <c r="E128" s="10">
        <f>IFERROR(__xludf.DUMMYFUNCTION("""COMPUTED_VALUE"""),44011.66666666667)</f>
        <v>44011.66667</v>
      </c>
      <c r="F128" s="11">
        <f>IFERROR(__xludf.DUMMYFUNCTION("""COMPUTED_VALUE"""),67.29)</f>
        <v>67.29</v>
      </c>
      <c r="G128" s="12">
        <f>IFERROR(__xludf.DUMMYFUNCTION("""COMPUTED_VALUE"""),44011.66666666667)</f>
        <v>44011.66667</v>
      </c>
      <c r="H128" s="11">
        <f>IFERROR(__xludf.DUMMYFUNCTION("""COMPUTED_VALUE"""),90.45)</f>
        <v>90.45</v>
      </c>
    </row>
    <row r="129" ht="15.75" customHeight="1">
      <c r="A129" s="10">
        <f>IFERROR(__xludf.DUMMYFUNCTION("""COMPUTED_VALUE"""),44012.66666666667)</f>
        <v>44012.66667</v>
      </c>
      <c r="B129" s="11">
        <f>IFERROR(__xludf.DUMMYFUNCTION("""COMPUTED_VALUE"""),44.68)</f>
        <v>44.68</v>
      </c>
      <c r="C129" s="10">
        <f>IFERROR(__xludf.DUMMYFUNCTION("""COMPUTED_VALUE"""),44012.66666666667)</f>
        <v>44012.66667</v>
      </c>
      <c r="D129" s="11">
        <f>IFERROR(__xludf.DUMMYFUNCTION("""COMPUTED_VALUE"""),203.51)</f>
        <v>203.51</v>
      </c>
      <c r="E129" s="10">
        <f>IFERROR(__xludf.DUMMYFUNCTION("""COMPUTED_VALUE"""),44012.66666666667)</f>
        <v>44012.66667</v>
      </c>
      <c r="F129" s="11">
        <f>IFERROR(__xludf.DUMMYFUNCTION("""COMPUTED_VALUE"""),71.99)</f>
        <v>71.99</v>
      </c>
      <c r="G129" s="12">
        <f>IFERROR(__xludf.DUMMYFUNCTION("""COMPUTED_VALUE"""),44012.66666666667)</f>
        <v>44012.66667</v>
      </c>
      <c r="H129" s="11">
        <f>IFERROR(__xludf.DUMMYFUNCTION("""COMPUTED_VALUE"""),91.2)</f>
        <v>91.2</v>
      </c>
    </row>
    <row r="130" ht="15.75" customHeight="1">
      <c r="A130" s="10">
        <f>IFERROR(__xludf.DUMMYFUNCTION("""COMPUTED_VALUE"""),44013.66666666667)</f>
        <v>44013.66667</v>
      </c>
      <c r="B130" s="11">
        <f>IFERROR(__xludf.DUMMYFUNCTION("""COMPUTED_VALUE"""),44.82)</f>
        <v>44.82</v>
      </c>
      <c r="C130" s="10">
        <f>IFERROR(__xludf.DUMMYFUNCTION("""COMPUTED_VALUE"""),44013.66666666667)</f>
        <v>44013.66667</v>
      </c>
      <c r="D130" s="11">
        <f>IFERROR(__xludf.DUMMYFUNCTION("""COMPUTED_VALUE"""),204.7)</f>
        <v>204.7</v>
      </c>
      <c r="E130" s="10">
        <f>IFERROR(__xludf.DUMMYFUNCTION("""COMPUTED_VALUE"""),44013.66666666667)</f>
        <v>44013.66667</v>
      </c>
      <c r="F130" s="11">
        <f>IFERROR(__xludf.DUMMYFUNCTION("""COMPUTED_VALUE"""),74.64)</f>
        <v>74.64</v>
      </c>
      <c r="G130" s="12">
        <f>IFERROR(__xludf.DUMMYFUNCTION("""COMPUTED_VALUE"""),44013.66666666667)</f>
        <v>44013.66667</v>
      </c>
      <c r="H130" s="11">
        <f>IFERROR(__xludf.DUMMYFUNCTION("""COMPUTED_VALUE"""),91.03)</f>
        <v>91.03</v>
      </c>
    </row>
    <row r="131" ht="15.75" customHeight="1">
      <c r="A131" s="10">
        <f>IFERROR(__xludf.DUMMYFUNCTION("""COMPUTED_VALUE"""),44014.66666666667)</f>
        <v>44014.66667</v>
      </c>
      <c r="B131" s="11">
        <f>IFERROR(__xludf.DUMMYFUNCTION("""COMPUTED_VALUE"""),44.88)</f>
        <v>44.88</v>
      </c>
      <c r="C131" s="10">
        <f>IFERROR(__xludf.DUMMYFUNCTION("""COMPUTED_VALUE"""),44014.66666666667)</f>
        <v>44014.66667</v>
      </c>
      <c r="D131" s="11">
        <f>IFERROR(__xludf.DUMMYFUNCTION("""COMPUTED_VALUE"""),206.26)</f>
        <v>206.26</v>
      </c>
      <c r="E131" s="10">
        <f>IFERROR(__xludf.DUMMYFUNCTION("""COMPUTED_VALUE"""),44014.66666666667)</f>
        <v>44014.66667</v>
      </c>
      <c r="F131" s="11">
        <f>IFERROR(__xludf.DUMMYFUNCTION("""COMPUTED_VALUE"""),80.58)</f>
        <v>80.58</v>
      </c>
      <c r="G131" s="12">
        <f>IFERROR(__xludf.DUMMYFUNCTION("""COMPUTED_VALUE"""),44014.66666666667)</f>
        <v>44014.66667</v>
      </c>
      <c r="H131" s="11">
        <f>IFERROR(__xludf.DUMMYFUNCTION("""COMPUTED_VALUE"""),91.03)</f>
        <v>91.03</v>
      </c>
    </row>
    <row r="132" ht="15.75" customHeight="1">
      <c r="A132" s="10">
        <f>IFERROR(__xludf.DUMMYFUNCTION("""COMPUTED_VALUE"""),44018.66666666667)</f>
        <v>44018.66667</v>
      </c>
      <c r="B132" s="11">
        <f>IFERROR(__xludf.DUMMYFUNCTION("""COMPUTED_VALUE"""),45.23)</f>
        <v>45.23</v>
      </c>
      <c r="C132" s="10">
        <f>IFERROR(__xludf.DUMMYFUNCTION("""COMPUTED_VALUE"""),44018.66666666667)</f>
        <v>44018.66667</v>
      </c>
      <c r="D132" s="11">
        <f>IFERROR(__xludf.DUMMYFUNCTION("""COMPUTED_VALUE"""),210.7)</f>
        <v>210.7</v>
      </c>
      <c r="E132" s="10">
        <f>IFERROR(__xludf.DUMMYFUNCTION("""COMPUTED_VALUE"""),44018.66666666667)</f>
        <v>44018.66667</v>
      </c>
      <c r="F132" s="11">
        <f>IFERROR(__xludf.DUMMYFUNCTION("""COMPUTED_VALUE"""),91.44)</f>
        <v>91.44</v>
      </c>
      <c r="G132" s="12">
        <f>IFERROR(__xludf.DUMMYFUNCTION("""COMPUTED_VALUE"""),44018.66666666667)</f>
        <v>44018.66667</v>
      </c>
      <c r="H132" s="11">
        <f>IFERROR(__xludf.DUMMYFUNCTION("""COMPUTED_VALUE"""),93.46)</f>
        <v>93.46</v>
      </c>
    </row>
    <row r="133" ht="15.75" customHeight="1">
      <c r="A133" s="10">
        <f>IFERROR(__xludf.DUMMYFUNCTION("""COMPUTED_VALUE"""),44019.66666666667)</f>
        <v>44019.66667</v>
      </c>
      <c r="B133" s="11">
        <f>IFERROR(__xludf.DUMMYFUNCTION("""COMPUTED_VALUE"""),45.21)</f>
        <v>45.21</v>
      </c>
      <c r="C133" s="10">
        <f>IFERROR(__xludf.DUMMYFUNCTION("""COMPUTED_VALUE"""),44019.66666666667)</f>
        <v>44019.66667</v>
      </c>
      <c r="D133" s="11">
        <f>IFERROR(__xludf.DUMMYFUNCTION("""COMPUTED_VALUE"""),208.25)</f>
        <v>208.25</v>
      </c>
      <c r="E133" s="10">
        <f>IFERROR(__xludf.DUMMYFUNCTION("""COMPUTED_VALUE"""),44019.66666666667)</f>
        <v>44019.66667</v>
      </c>
      <c r="F133" s="11">
        <f>IFERROR(__xludf.DUMMYFUNCTION("""COMPUTED_VALUE"""),92.66)</f>
        <v>92.66</v>
      </c>
      <c r="G133" s="12">
        <f>IFERROR(__xludf.DUMMYFUNCTION("""COMPUTED_VALUE"""),44019.66666666667)</f>
        <v>44019.66667</v>
      </c>
      <c r="H133" s="11">
        <f>IFERROR(__xludf.DUMMYFUNCTION("""COMPUTED_VALUE"""),93.17)</f>
        <v>93.17</v>
      </c>
    </row>
    <row r="134" ht="15.75" customHeight="1">
      <c r="A134" s="10">
        <f>IFERROR(__xludf.DUMMYFUNCTION("""COMPUTED_VALUE"""),44020.66666666667)</f>
        <v>44020.66667</v>
      </c>
      <c r="B134" s="11">
        <f>IFERROR(__xludf.DUMMYFUNCTION("""COMPUTED_VALUE"""),45.07)</f>
        <v>45.07</v>
      </c>
      <c r="C134" s="10">
        <f>IFERROR(__xludf.DUMMYFUNCTION("""COMPUTED_VALUE"""),44020.66666666667)</f>
        <v>44020.66667</v>
      </c>
      <c r="D134" s="11">
        <f>IFERROR(__xludf.DUMMYFUNCTION("""COMPUTED_VALUE"""),212.83)</f>
        <v>212.83</v>
      </c>
      <c r="E134" s="10">
        <f>IFERROR(__xludf.DUMMYFUNCTION("""COMPUTED_VALUE"""),44020.66666666667)</f>
        <v>44020.66667</v>
      </c>
      <c r="F134" s="11">
        <f>IFERROR(__xludf.DUMMYFUNCTION("""COMPUTED_VALUE"""),91.06)</f>
        <v>91.06</v>
      </c>
      <c r="G134" s="12">
        <f>IFERROR(__xludf.DUMMYFUNCTION("""COMPUTED_VALUE"""),44020.66666666667)</f>
        <v>44020.66667</v>
      </c>
      <c r="H134" s="11">
        <f>IFERROR(__xludf.DUMMYFUNCTION("""COMPUTED_VALUE"""),95.34)</f>
        <v>95.34</v>
      </c>
    </row>
    <row r="135" ht="15.75" customHeight="1">
      <c r="A135" s="10">
        <f>IFERROR(__xludf.DUMMYFUNCTION("""COMPUTED_VALUE"""),44021.66666666667)</f>
        <v>44021.66667</v>
      </c>
      <c r="B135" s="11">
        <f>IFERROR(__xludf.DUMMYFUNCTION("""COMPUTED_VALUE"""),43.91)</f>
        <v>43.91</v>
      </c>
      <c r="C135" s="10">
        <f>IFERROR(__xludf.DUMMYFUNCTION("""COMPUTED_VALUE"""),44021.66666666667)</f>
        <v>44021.66667</v>
      </c>
      <c r="D135" s="11">
        <f>IFERROR(__xludf.DUMMYFUNCTION("""COMPUTED_VALUE"""),214.32)</f>
        <v>214.32</v>
      </c>
      <c r="E135" s="10">
        <f>IFERROR(__xludf.DUMMYFUNCTION("""COMPUTED_VALUE"""),44021.66666666667)</f>
        <v>44021.66667</v>
      </c>
      <c r="F135" s="11">
        <f>IFERROR(__xludf.DUMMYFUNCTION("""COMPUTED_VALUE"""),92.95)</f>
        <v>92.95</v>
      </c>
      <c r="G135" s="12">
        <f>IFERROR(__xludf.DUMMYFUNCTION("""COMPUTED_VALUE"""),44021.66666666667)</f>
        <v>44021.66667</v>
      </c>
      <c r="H135" s="11">
        <f>IFERROR(__xludf.DUMMYFUNCTION("""COMPUTED_VALUE"""),95.68)</f>
        <v>95.68</v>
      </c>
    </row>
    <row r="136" ht="15.75" customHeight="1">
      <c r="A136" s="10">
        <f>IFERROR(__xludf.DUMMYFUNCTION("""COMPUTED_VALUE"""),44022.66666666667)</f>
        <v>44022.66667</v>
      </c>
      <c r="B136" s="11">
        <f>IFERROR(__xludf.DUMMYFUNCTION("""COMPUTED_VALUE"""),45.15)</f>
        <v>45.15</v>
      </c>
      <c r="C136" s="10">
        <f>IFERROR(__xludf.DUMMYFUNCTION("""COMPUTED_VALUE"""),44022.66666666667)</f>
        <v>44022.66667</v>
      </c>
      <c r="D136" s="11">
        <f>IFERROR(__xludf.DUMMYFUNCTION("""COMPUTED_VALUE"""),213.67)</f>
        <v>213.67</v>
      </c>
      <c r="E136" s="10">
        <f>IFERROR(__xludf.DUMMYFUNCTION("""COMPUTED_VALUE"""),44022.66666666667)</f>
        <v>44022.66667</v>
      </c>
      <c r="F136" s="11">
        <f>IFERROR(__xludf.DUMMYFUNCTION("""COMPUTED_VALUE"""),102.98)</f>
        <v>102.98</v>
      </c>
      <c r="G136" s="12">
        <f>IFERROR(__xludf.DUMMYFUNCTION("""COMPUTED_VALUE"""),44022.66666666667)</f>
        <v>44022.66667</v>
      </c>
      <c r="H136" s="11">
        <f>IFERROR(__xludf.DUMMYFUNCTION("""COMPUTED_VALUE"""),95.92)</f>
        <v>95.92</v>
      </c>
    </row>
    <row r="137" ht="15.75" customHeight="1">
      <c r="A137" s="10">
        <f>IFERROR(__xludf.DUMMYFUNCTION("""COMPUTED_VALUE"""),44025.66666666667)</f>
        <v>44025.66667</v>
      </c>
      <c r="B137" s="11">
        <f>IFERROR(__xludf.DUMMYFUNCTION("""COMPUTED_VALUE"""),45.25)</f>
        <v>45.25</v>
      </c>
      <c r="C137" s="10">
        <f>IFERROR(__xludf.DUMMYFUNCTION("""COMPUTED_VALUE"""),44025.66666666667)</f>
        <v>44025.66667</v>
      </c>
      <c r="D137" s="11">
        <f>IFERROR(__xludf.DUMMYFUNCTION("""COMPUTED_VALUE"""),207.07)</f>
        <v>207.07</v>
      </c>
      <c r="E137" s="10">
        <f>IFERROR(__xludf.DUMMYFUNCTION("""COMPUTED_VALUE"""),44025.66666666667)</f>
        <v>44025.66667</v>
      </c>
      <c r="F137" s="11">
        <f>IFERROR(__xludf.DUMMYFUNCTION("""COMPUTED_VALUE"""),99.8)</f>
        <v>99.8</v>
      </c>
      <c r="G137" s="12">
        <f>IFERROR(__xludf.DUMMYFUNCTION("""COMPUTED_VALUE"""),44025.66666666667)</f>
        <v>44025.66667</v>
      </c>
      <c r="H137" s="11">
        <f>IFERROR(__xludf.DUMMYFUNCTION("""COMPUTED_VALUE"""),95.48)</f>
        <v>95.48</v>
      </c>
    </row>
    <row r="138" ht="15.75" customHeight="1">
      <c r="A138" s="10">
        <f>IFERROR(__xludf.DUMMYFUNCTION("""COMPUTED_VALUE"""),44026.66666666667)</f>
        <v>44026.66667</v>
      </c>
      <c r="B138" s="11">
        <f>IFERROR(__xludf.DUMMYFUNCTION("""COMPUTED_VALUE"""),45.87)</f>
        <v>45.87</v>
      </c>
      <c r="C138" s="10">
        <f>IFERROR(__xludf.DUMMYFUNCTION("""COMPUTED_VALUE"""),44026.66666666667)</f>
        <v>44026.66667</v>
      </c>
      <c r="D138" s="11">
        <f>IFERROR(__xludf.DUMMYFUNCTION("""COMPUTED_VALUE"""),208.35)</f>
        <v>208.35</v>
      </c>
      <c r="E138" s="10">
        <f>IFERROR(__xludf.DUMMYFUNCTION("""COMPUTED_VALUE"""),44026.66666666667)</f>
        <v>44026.66667</v>
      </c>
      <c r="F138" s="11">
        <f>IFERROR(__xludf.DUMMYFUNCTION("""COMPUTED_VALUE"""),101.12)</f>
        <v>101.12</v>
      </c>
      <c r="G138" s="12">
        <f>IFERROR(__xludf.DUMMYFUNCTION("""COMPUTED_VALUE"""),44026.66666666667)</f>
        <v>44026.66667</v>
      </c>
      <c r="H138" s="11">
        <f>IFERROR(__xludf.DUMMYFUNCTION("""COMPUTED_VALUE"""),97.06)</f>
        <v>97.06</v>
      </c>
    </row>
    <row r="139" ht="15.75" customHeight="1">
      <c r="A139" s="10">
        <f>IFERROR(__xludf.DUMMYFUNCTION("""COMPUTED_VALUE"""),44027.66666666667)</f>
        <v>44027.66667</v>
      </c>
      <c r="B139" s="11">
        <f>IFERROR(__xludf.DUMMYFUNCTION("""COMPUTED_VALUE"""),46.4)</f>
        <v>46.4</v>
      </c>
      <c r="C139" s="10">
        <f>IFERROR(__xludf.DUMMYFUNCTION("""COMPUTED_VALUE"""),44027.66666666667)</f>
        <v>44027.66667</v>
      </c>
      <c r="D139" s="11">
        <f>IFERROR(__xludf.DUMMYFUNCTION("""COMPUTED_VALUE"""),208.04)</f>
        <v>208.04</v>
      </c>
      <c r="E139" s="10">
        <f>IFERROR(__xludf.DUMMYFUNCTION("""COMPUTED_VALUE"""),44027.66666666667)</f>
        <v>44027.66667</v>
      </c>
      <c r="F139" s="11">
        <f>IFERROR(__xludf.DUMMYFUNCTION("""COMPUTED_VALUE"""),103.07)</f>
        <v>103.07</v>
      </c>
      <c r="G139" s="12">
        <f>IFERROR(__xludf.DUMMYFUNCTION("""COMPUTED_VALUE"""),44027.66666666667)</f>
        <v>44027.66667</v>
      </c>
      <c r="H139" s="11">
        <f>IFERROR(__xludf.DUMMYFUNCTION("""COMPUTED_VALUE"""),97.73)</f>
        <v>97.73</v>
      </c>
    </row>
    <row r="140" ht="15.75" customHeight="1">
      <c r="A140" s="10">
        <f>IFERROR(__xludf.DUMMYFUNCTION("""COMPUTED_VALUE"""),44028.66666666667)</f>
        <v>44028.66667</v>
      </c>
      <c r="B140" s="11">
        <f>IFERROR(__xludf.DUMMYFUNCTION("""COMPUTED_VALUE"""),46.15)</f>
        <v>46.15</v>
      </c>
      <c r="C140" s="10">
        <f>IFERROR(__xludf.DUMMYFUNCTION("""COMPUTED_VALUE"""),44028.66666666667)</f>
        <v>44028.66667</v>
      </c>
      <c r="D140" s="11">
        <f>IFERROR(__xludf.DUMMYFUNCTION("""COMPUTED_VALUE"""),203.92)</f>
        <v>203.92</v>
      </c>
      <c r="E140" s="10">
        <f>IFERROR(__xludf.DUMMYFUNCTION("""COMPUTED_VALUE"""),44028.66666666667)</f>
        <v>44028.66667</v>
      </c>
      <c r="F140" s="11">
        <f>IFERROR(__xludf.DUMMYFUNCTION("""COMPUTED_VALUE"""),100.04)</f>
        <v>100.04</v>
      </c>
      <c r="G140" s="12">
        <f>IFERROR(__xludf.DUMMYFUNCTION("""COMPUTED_VALUE"""),44028.66666666667)</f>
        <v>44028.66667</v>
      </c>
      <c r="H140" s="11">
        <f>IFERROR(__xludf.DUMMYFUNCTION("""COMPUTED_VALUE"""),96.52)</f>
        <v>96.52</v>
      </c>
    </row>
    <row r="141" ht="15.75" customHeight="1">
      <c r="A141" s="10">
        <f>IFERROR(__xludf.DUMMYFUNCTION("""COMPUTED_VALUE"""),44029.66666666667)</f>
        <v>44029.66667</v>
      </c>
      <c r="B141" s="11">
        <f>IFERROR(__xludf.DUMMYFUNCTION("""COMPUTED_VALUE"""),46.82)</f>
        <v>46.82</v>
      </c>
      <c r="C141" s="10">
        <f>IFERROR(__xludf.DUMMYFUNCTION("""COMPUTED_VALUE"""),44029.66666666667)</f>
        <v>44029.66667</v>
      </c>
      <c r="D141" s="11">
        <f>IFERROR(__xludf.DUMMYFUNCTION("""COMPUTED_VALUE"""),202.88)</f>
        <v>202.88</v>
      </c>
      <c r="E141" s="10">
        <f>IFERROR(__xludf.DUMMYFUNCTION("""COMPUTED_VALUE"""),44029.66666666667)</f>
        <v>44029.66667</v>
      </c>
      <c r="F141" s="11">
        <f>IFERROR(__xludf.DUMMYFUNCTION("""COMPUTED_VALUE"""),100.06)</f>
        <v>100.06</v>
      </c>
      <c r="G141" s="12">
        <f>IFERROR(__xludf.DUMMYFUNCTION("""COMPUTED_VALUE"""),44029.66666666667)</f>
        <v>44029.66667</v>
      </c>
      <c r="H141" s="11">
        <f>IFERROR(__xludf.DUMMYFUNCTION("""COMPUTED_VALUE"""),96.33)</f>
        <v>96.33</v>
      </c>
    </row>
    <row r="142" ht="15.75" customHeight="1">
      <c r="A142" s="10">
        <f>IFERROR(__xludf.DUMMYFUNCTION("""COMPUTED_VALUE"""),44032.66666666667)</f>
        <v>44032.66667</v>
      </c>
      <c r="B142" s="11">
        <f>IFERROR(__xludf.DUMMYFUNCTION("""COMPUTED_VALUE"""),46.12)</f>
        <v>46.12</v>
      </c>
      <c r="C142" s="10">
        <f>IFERROR(__xludf.DUMMYFUNCTION("""COMPUTED_VALUE"""),44032.66666666667)</f>
        <v>44032.66667</v>
      </c>
      <c r="D142" s="11">
        <f>IFERROR(__xludf.DUMMYFUNCTION("""COMPUTED_VALUE"""),211.6)</f>
        <v>211.6</v>
      </c>
      <c r="E142" s="10">
        <f>IFERROR(__xludf.DUMMYFUNCTION("""COMPUTED_VALUE"""),44032.66666666667)</f>
        <v>44032.66667</v>
      </c>
      <c r="F142" s="11">
        <f>IFERROR(__xludf.DUMMYFUNCTION("""COMPUTED_VALUE"""),109.53)</f>
        <v>109.53</v>
      </c>
      <c r="G142" s="12">
        <f>IFERROR(__xludf.DUMMYFUNCTION("""COMPUTED_VALUE"""),44032.66666666667)</f>
        <v>44032.66667</v>
      </c>
      <c r="H142" s="11">
        <f>IFERROR(__xludf.DUMMYFUNCTION("""COMPUTED_VALUE"""),98.36)</f>
        <v>98.36</v>
      </c>
    </row>
    <row r="143" ht="15.75" customHeight="1">
      <c r="A143" s="10">
        <f>IFERROR(__xludf.DUMMYFUNCTION("""COMPUTED_VALUE"""),44033.66666666667)</f>
        <v>44033.66667</v>
      </c>
      <c r="B143" s="11">
        <f>IFERROR(__xludf.DUMMYFUNCTION("""COMPUTED_VALUE"""),47.2)</f>
        <v>47.2</v>
      </c>
      <c r="C143" s="10">
        <f>IFERROR(__xludf.DUMMYFUNCTION("""COMPUTED_VALUE"""),44033.66666666667)</f>
        <v>44033.66667</v>
      </c>
      <c r="D143" s="11">
        <f>IFERROR(__xludf.DUMMYFUNCTION("""COMPUTED_VALUE"""),208.75)</f>
        <v>208.75</v>
      </c>
      <c r="E143" s="10">
        <f>IFERROR(__xludf.DUMMYFUNCTION("""COMPUTED_VALUE"""),44033.66666666667)</f>
        <v>44033.66667</v>
      </c>
      <c r="F143" s="11">
        <f>IFERROR(__xludf.DUMMYFUNCTION("""COMPUTED_VALUE"""),104.56)</f>
        <v>104.56</v>
      </c>
      <c r="G143" s="12">
        <f>IFERROR(__xludf.DUMMYFUNCTION("""COMPUTED_VALUE"""),44033.66666666667)</f>
        <v>44033.66667</v>
      </c>
      <c r="H143" s="11">
        <f>IFERROR(__xludf.DUMMYFUNCTION("""COMPUTED_VALUE"""),97.0)</f>
        <v>97</v>
      </c>
    </row>
    <row r="144" ht="15.75" customHeight="1">
      <c r="A144" s="10">
        <f>IFERROR(__xludf.DUMMYFUNCTION("""COMPUTED_VALUE"""),44034.66666666667)</f>
        <v>44034.66667</v>
      </c>
      <c r="B144" s="11">
        <f>IFERROR(__xludf.DUMMYFUNCTION("""COMPUTED_VALUE"""),48.48)</f>
        <v>48.48</v>
      </c>
      <c r="C144" s="10">
        <f>IFERROR(__xludf.DUMMYFUNCTION("""COMPUTED_VALUE"""),44034.66666666667)</f>
        <v>44034.66667</v>
      </c>
      <c r="D144" s="11">
        <f>IFERROR(__xludf.DUMMYFUNCTION("""COMPUTED_VALUE"""),211.75)</f>
        <v>211.75</v>
      </c>
      <c r="E144" s="10">
        <f>IFERROR(__xludf.DUMMYFUNCTION("""COMPUTED_VALUE"""),44034.66666666667)</f>
        <v>44034.66667</v>
      </c>
      <c r="F144" s="11">
        <f>IFERROR(__xludf.DUMMYFUNCTION("""COMPUTED_VALUE"""),106.16)</f>
        <v>106.16</v>
      </c>
      <c r="G144" s="12">
        <f>IFERROR(__xludf.DUMMYFUNCTION("""COMPUTED_VALUE"""),44034.66666666667)</f>
        <v>44034.66667</v>
      </c>
      <c r="H144" s="11">
        <f>IFERROR(__xludf.DUMMYFUNCTION("""COMPUTED_VALUE"""),97.27)</f>
        <v>97.27</v>
      </c>
    </row>
    <row r="145" ht="15.75" customHeight="1">
      <c r="A145" s="10">
        <f>IFERROR(__xludf.DUMMYFUNCTION("""COMPUTED_VALUE"""),44035.66666666667)</f>
        <v>44035.66667</v>
      </c>
      <c r="B145" s="11">
        <f>IFERROR(__xludf.DUMMYFUNCTION("""COMPUTED_VALUE"""),48.28)</f>
        <v>48.28</v>
      </c>
      <c r="C145" s="10">
        <f>IFERROR(__xludf.DUMMYFUNCTION("""COMPUTED_VALUE"""),44035.66666666667)</f>
        <v>44035.66667</v>
      </c>
      <c r="D145" s="11">
        <f>IFERROR(__xludf.DUMMYFUNCTION("""COMPUTED_VALUE"""),202.54)</f>
        <v>202.54</v>
      </c>
      <c r="E145" s="10">
        <f>IFERROR(__xludf.DUMMYFUNCTION("""COMPUTED_VALUE"""),44035.66666666667)</f>
        <v>44035.66667</v>
      </c>
      <c r="F145" s="11">
        <f>IFERROR(__xludf.DUMMYFUNCTION("""COMPUTED_VALUE"""),100.87)</f>
        <v>100.87</v>
      </c>
      <c r="G145" s="12">
        <f>IFERROR(__xludf.DUMMYFUNCTION("""COMPUTED_VALUE"""),44035.66666666667)</f>
        <v>44035.66667</v>
      </c>
      <c r="H145" s="11">
        <f>IFERROR(__xludf.DUMMYFUNCTION("""COMPUTED_VALUE"""),92.85)</f>
        <v>92.85</v>
      </c>
    </row>
    <row r="146" ht="15.75" customHeight="1">
      <c r="A146" s="10">
        <f>IFERROR(__xludf.DUMMYFUNCTION("""COMPUTED_VALUE"""),44036.66666666667)</f>
        <v>44036.66667</v>
      </c>
      <c r="B146" s="11">
        <f>IFERROR(__xludf.DUMMYFUNCTION("""COMPUTED_VALUE"""),48.49)</f>
        <v>48.49</v>
      </c>
      <c r="C146" s="10">
        <f>IFERROR(__xludf.DUMMYFUNCTION("""COMPUTED_VALUE"""),44036.66666666667)</f>
        <v>44036.66667</v>
      </c>
      <c r="D146" s="11">
        <f>IFERROR(__xludf.DUMMYFUNCTION("""COMPUTED_VALUE"""),201.3)</f>
        <v>201.3</v>
      </c>
      <c r="E146" s="10">
        <f>IFERROR(__xludf.DUMMYFUNCTION("""COMPUTED_VALUE"""),44036.66666666667)</f>
        <v>44036.66667</v>
      </c>
      <c r="F146" s="11">
        <f>IFERROR(__xludf.DUMMYFUNCTION("""COMPUTED_VALUE"""),94.47)</f>
        <v>94.47</v>
      </c>
      <c r="G146" s="12">
        <f>IFERROR(__xludf.DUMMYFUNCTION("""COMPUTED_VALUE"""),44036.66666666667)</f>
        <v>44036.66667</v>
      </c>
      <c r="H146" s="11">
        <f>IFERROR(__xludf.DUMMYFUNCTION("""COMPUTED_VALUE"""),92.62)</f>
        <v>92.62</v>
      </c>
    </row>
    <row r="147" ht="15.75" customHeight="1">
      <c r="A147" s="10">
        <f>IFERROR(__xludf.DUMMYFUNCTION("""COMPUTED_VALUE"""),44039.66666666667)</f>
        <v>44039.66667</v>
      </c>
      <c r="B147" s="11">
        <f>IFERROR(__xludf.DUMMYFUNCTION("""COMPUTED_VALUE"""),48.48)</f>
        <v>48.48</v>
      </c>
      <c r="C147" s="10">
        <f>IFERROR(__xludf.DUMMYFUNCTION("""COMPUTED_VALUE"""),44039.66666666667)</f>
        <v>44039.66667</v>
      </c>
      <c r="D147" s="11">
        <f>IFERROR(__xludf.DUMMYFUNCTION("""COMPUTED_VALUE"""),203.85)</f>
        <v>203.85</v>
      </c>
      <c r="E147" s="10">
        <f>IFERROR(__xludf.DUMMYFUNCTION("""COMPUTED_VALUE"""),44039.66666666667)</f>
        <v>44039.66667</v>
      </c>
      <c r="F147" s="11">
        <f>IFERROR(__xludf.DUMMYFUNCTION("""COMPUTED_VALUE"""),102.64)</f>
        <v>102.64</v>
      </c>
      <c r="G147" s="12">
        <f>IFERROR(__xludf.DUMMYFUNCTION("""COMPUTED_VALUE"""),44039.66666666667)</f>
        <v>44039.66667</v>
      </c>
      <c r="H147" s="11">
        <f>IFERROR(__xludf.DUMMYFUNCTION("""COMPUTED_VALUE"""),94.81)</f>
        <v>94.81</v>
      </c>
    </row>
    <row r="148" ht="15.75" customHeight="1">
      <c r="A148" s="10">
        <f>IFERROR(__xludf.DUMMYFUNCTION("""COMPUTED_VALUE"""),44040.66666666667)</f>
        <v>44040.66667</v>
      </c>
      <c r="B148" s="11">
        <f>IFERROR(__xludf.DUMMYFUNCTION("""COMPUTED_VALUE"""),48.18)</f>
        <v>48.18</v>
      </c>
      <c r="C148" s="10">
        <f>IFERROR(__xludf.DUMMYFUNCTION("""COMPUTED_VALUE"""),44040.66666666667)</f>
        <v>44040.66667</v>
      </c>
      <c r="D148" s="11">
        <f>IFERROR(__xludf.DUMMYFUNCTION("""COMPUTED_VALUE"""),202.02)</f>
        <v>202.02</v>
      </c>
      <c r="E148" s="10">
        <f>IFERROR(__xludf.DUMMYFUNCTION("""COMPUTED_VALUE"""),44040.66666666667)</f>
        <v>44040.66667</v>
      </c>
      <c r="F148" s="11">
        <f>IFERROR(__xludf.DUMMYFUNCTION("""COMPUTED_VALUE"""),98.43)</f>
        <v>98.43</v>
      </c>
      <c r="G148" s="12">
        <f>IFERROR(__xludf.DUMMYFUNCTION("""COMPUTED_VALUE"""),44040.66666666667)</f>
        <v>44040.66667</v>
      </c>
      <c r="H148" s="11">
        <f>IFERROR(__xludf.DUMMYFUNCTION("""COMPUTED_VALUE"""),93.25)</f>
        <v>93.25</v>
      </c>
    </row>
    <row r="149" ht="15.75" customHeight="1">
      <c r="A149" s="10">
        <f>IFERROR(__xludf.DUMMYFUNCTION("""COMPUTED_VALUE"""),44041.66666666667)</f>
        <v>44041.66667</v>
      </c>
      <c r="B149" s="11">
        <f>IFERROR(__xludf.DUMMYFUNCTION("""COMPUTED_VALUE"""),48.02)</f>
        <v>48.02</v>
      </c>
      <c r="C149" s="10">
        <f>IFERROR(__xludf.DUMMYFUNCTION("""COMPUTED_VALUE"""),44041.66666666667)</f>
        <v>44041.66667</v>
      </c>
      <c r="D149" s="11">
        <f>IFERROR(__xludf.DUMMYFUNCTION("""COMPUTED_VALUE"""),204.06)</f>
        <v>204.06</v>
      </c>
      <c r="E149" s="10">
        <f>IFERROR(__xludf.DUMMYFUNCTION("""COMPUTED_VALUE"""),44041.66666666667)</f>
        <v>44041.66667</v>
      </c>
      <c r="F149" s="11">
        <f>IFERROR(__xludf.DUMMYFUNCTION("""COMPUTED_VALUE"""),99.94)</f>
        <v>99.94</v>
      </c>
      <c r="G149" s="12">
        <f>IFERROR(__xludf.DUMMYFUNCTION("""COMPUTED_VALUE"""),44041.66666666667)</f>
        <v>44041.66667</v>
      </c>
      <c r="H149" s="11">
        <f>IFERROR(__xludf.DUMMYFUNCTION("""COMPUTED_VALUE"""),95.04)</f>
        <v>95.04</v>
      </c>
    </row>
    <row r="150" ht="15.75" customHeight="1">
      <c r="A150" s="10">
        <f>IFERROR(__xludf.DUMMYFUNCTION("""COMPUTED_VALUE"""),44042.66666666667)</f>
        <v>44042.66667</v>
      </c>
      <c r="B150" s="11">
        <f>IFERROR(__xludf.DUMMYFUNCTION("""COMPUTED_VALUE"""),47.69)</f>
        <v>47.69</v>
      </c>
      <c r="C150" s="10">
        <f>IFERROR(__xludf.DUMMYFUNCTION("""COMPUTED_VALUE"""),44042.66666666667)</f>
        <v>44042.66667</v>
      </c>
      <c r="D150" s="11">
        <f>IFERROR(__xludf.DUMMYFUNCTION("""COMPUTED_VALUE"""),203.9)</f>
        <v>203.9</v>
      </c>
      <c r="E150" s="10">
        <f>IFERROR(__xludf.DUMMYFUNCTION("""COMPUTED_VALUE"""),44042.66666666667)</f>
        <v>44042.66667</v>
      </c>
      <c r="F150" s="11">
        <f>IFERROR(__xludf.DUMMYFUNCTION("""COMPUTED_VALUE"""),99.17)</f>
        <v>99.17</v>
      </c>
      <c r="G150" s="12">
        <f>IFERROR(__xludf.DUMMYFUNCTION("""COMPUTED_VALUE"""),44042.66666666667)</f>
        <v>44042.66667</v>
      </c>
      <c r="H150" s="11">
        <f>IFERROR(__xludf.DUMMYFUNCTION("""COMPUTED_VALUE"""),96.19)</f>
        <v>96.19</v>
      </c>
    </row>
    <row r="151" ht="15.75" customHeight="1">
      <c r="A151" s="10">
        <f>IFERROR(__xludf.DUMMYFUNCTION("""COMPUTED_VALUE"""),44043.66666666667)</f>
        <v>44043.66667</v>
      </c>
      <c r="B151" s="11">
        <f>IFERROR(__xludf.DUMMYFUNCTION("""COMPUTED_VALUE"""),47.24)</f>
        <v>47.24</v>
      </c>
      <c r="C151" s="10">
        <f>IFERROR(__xludf.DUMMYFUNCTION("""COMPUTED_VALUE"""),44043.66666666667)</f>
        <v>44043.66667</v>
      </c>
      <c r="D151" s="11">
        <f>IFERROR(__xludf.DUMMYFUNCTION("""COMPUTED_VALUE"""),205.01)</f>
        <v>205.01</v>
      </c>
      <c r="E151" s="10">
        <f>IFERROR(__xludf.DUMMYFUNCTION("""COMPUTED_VALUE"""),44043.66666666667)</f>
        <v>44043.66667</v>
      </c>
      <c r="F151" s="11">
        <f>IFERROR(__xludf.DUMMYFUNCTION("""COMPUTED_VALUE"""),95.38)</f>
        <v>95.38</v>
      </c>
      <c r="G151" s="12">
        <f>IFERROR(__xludf.DUMMYFUNCTION("""COMPUTED_VALUE"""),44043.66666666667)</f>
        <v>44043.66667</v>
      </c>
      <c r="H151" s="11">
        <f>IFERROR(__xludf.DUMMYFUNCTION("""COMPUTED_VALUE"""),106.26)</f>
        <v>106.26</v>
      </c>
    </row>
    <row r="152" ht="15.75" customHeight="1">
      <c r="A152" s="10">
        <f>IFERROR(__xludf.DUMMYFUNCTION("""COMPUTED_VALUE"""),44046.66666666667)</f>
        <v>44046.66667</v>
      </c>
      <c r="B152" s="11">
        <f>IFERROR(__xludf.DUMMYFUNCTION("""COMPUTED_VALUE"""),46.3)</f>
        <v>46.3</v>
      </c>
      <c r="C152" s="10">
        <f>IFERROR(__xludf.DUMMYFUNCTION("""COMPUTED_VALUE"""),44046.66666666667)</f>
        <v>44046.66667</v>
      </c>
      <c r="D152" s="11">
        <f>IFERROR(__xludf.DUMMYFUNCTION("""COMPUTED_VALUE"""),216.54)</f>
        <v>216.54</v>
      </c>
      <c r="E152" s="10">
        <f>IFERROR(__xludf.DUMMYFUNCTION("""COMPUTED_VALUE"""),44046.66666666667)</f>
        <v>44046.66667</v>
      </c>
      <c r="F152" s="11">
        <f>IFERROR(__xludf.DUMMYFUNCTION("""COMPUTED_VALUE"""),99.0)</f>
        <v>99</v>
      </c>
      <c r="G152" s="12">
        <f>IFERROR(__xludf.DUMMYFUNCTION("""COMPUTED_VALUE"""),44046.66666666667)</f>
        <v>44046.66667</v>
      </c>
      <c r="H152" s="11">
        <f>IFERROR(__xludf.DUMMYFUNCTION("""COMPUTED_VALUE"""),108.94)</f>
        <v>108.94</v>
      </c>
    </row>
    <row r="153" ht="15.75" customHeight="1">
      <c r="A153" s="10">
        <f>IFERROR(__xludf.DUMMYFUNCTION("""COMPUTED_VALUE"""),44047.66666666667)</f>
        <v>44047.66667</v>
      </c>
      <c r="B153" s="11">
        <f>IFERROR(__xludf.DUMMYFUNCTION("""COMPUTED_VALUE"""),46.69)</f>
        <v>46.69</v>
      </c>
      <c r="C153" s="10">
        <f>IFERROR(__xludf.DUMMYFUNCTION("""COMPUTED_VALUE"""),44047.66666666667)</f>
        <v>44047.66667</v>
      </c>
      <c r="D153" s="11">
        <f>IFERROR(__xludf.DUMMYFUNCTION("""COMPUTED_VALUE"""),213.29)</f>
        <v>213.29</v>
      </c>
      <c r="E153" s="10">
        <f>IFERROR(__xludf.DUMMYFUNCTION("""COMPUTED_VALUE"""),44047.66666666667)</f>
        <v>44047.66667</v>
      </c>
      <c r="F153" s="11">
        <f>IFERROR(__xludf.DUMMYFUNCTION("""COMPUTED_VALUE"""),99.13)</f>
        <v>99.13</v>
      </c>
      <c r="G153" s="12">
        <f>IFERROR(__xludf.DUMMYFUNCTION("""COMPUTED_VALUE"""),44047.66666666667)</f>
        <v>44047.66667</v>
      </c>
      <c r="H153" s="11">
        <f>IFERROR(__xludf.DUMMYFUNCTION("""COMPUTED_VALUE"""),109.67)</f>
        <v>109.67</v>
      </c>
    </row>
    <row r="154" ht="15.75" customHeight="1">
      <c r="A154" s="10">
        <f>IFERROR(__xludf.DUMMYFUNCTION("""COMPUTED_VALUE"""),44048.66666666667)</f>
        <v>44048.66667</v>
      </c>
      <c r="B154" s="11">
        <f>IFERROR(__xludf.DUMMYFUNCTION("""COMPUTED_VALUE"""),47.22)</f>
        <v>47.22</v>
      </c>
      <c r="C154" s="10">
        <f>IFERROR(__xludf.DUMMYFUNCTION("""COMPUTED_VALUE"""),44048.66666666667)</f>
        <v>44048.66667</v>
      </c>
      <c r="D154" s="11">
        <f>IFERROR(__xludf.DUMMYFUNCTION("""COMPUTED_VALUE"""),212.94)</f>
        <v>212.94</v>
      </c>
      <c r="E154" s="10">
        <f>IFERROR(__xludf.DUMMYFUNCTION("""COMPUTED_VALUE"""),44048.66666666667)</f>
        <v>44048.66667</v>
      </c>
      <c r="F154" s="11">
        <f>IFERROR(__xludf.DUMMYFUNCTION("""COMPUTED_VALUE"""),99.0)</f>
        <v>99</v>
      </c>
      <c r="G154" s="12">
        <f>IFERROR(__xludf.DUMMYFUNCTION("""COMPUTED_VALUE"""),44048.66666666667)</f>
        <v>44048.66667</v>
      </c>
      <c r="H154" s="11">
        <f>IFERROR(__xludf.DUMMYFUNCTION("""COMPUTED_VALUE"""),110.06)</f>
        <v>110.06</v>
      </c>
    </row>
    <row r="155" ht="15.75" customHeight="1">
      <c r="A155" s="10">
        <f>IFERROR(__xludf.DUMMYFUNCTION("""COMPUTED_VALUE"""),44049.66666666667)</f>
        <v>44049.66667</v>
      </c>
      <c r="B155" s="11">
        <f>IFERROR(__xludf.DUMMYFUNCTION("""COMPUTED_VALUE"""),47.48)</f>
        <v>47.48</v>
      </c>
      <c r="C155" s="10">
        <f>IFERROR(__xludf.DUMMYFUNCTION("""COMPUTED_VALUE"""),44049.66666666667)</f>
        <v>44049.66667</v>
      </c>
      <c r="D155" s="11">
        <f>IFERROR(__xludf.DUMMYFUNCTION("""COMPUTED_VALUE"""),216.35)</f>
        <v>216.35</v>
      </c>
      <c r="E155" s="10">
        <f>IFERROR(__xludf.DUMMYFUNCTION("""COMPUTED_VALUE"""),44049.66666666667)</f>
        <v>44049.66667</v>
      </c>
      <c r="F155" s="11">
        <f>IFERROR(__xludf.DUMMYFUNCTION("""COMPUTED_VALUE"""),99.31)</f>
        <v>99.31</v>
      </c>
      <c r="G155" s="12">
        <f>IFERROR(__xludf.DUMMYFUNCTION("""COMPUTED_VALUE"""),44049.66666666667)</f>
        <v>44049.66667</v>
      </c>
      <c r="H155" s="11">
        <f>IFERROR(__xludf.DUMMYFUNCTION("""COMPUTED_VALUE"""),113.9)</f>
        <v>113.9</v>
      </c>
    </row>
    <row r="156" ht="15.75" customHeight="1">
      <c r="A156" s="10">
        <f>IFERROR(__xludf.DUMMYFUNCTION("""COMPUTED_VALUE"""),44050.66666666667)</f>
        <v>44050.66667</v>
      </c>
      <c r="B156" s="11">
        <f>IFERROR(__xludf.DUMMYFUNCTION("""COMPUTED_VALUE"""),47.8)</f>
        <v>47.8</v>
      </c>
      <c r="C156" s="10">
        <f>IFERROR(__xludf.DUMMYFUNCTION("""COMPUTED_VALUE"""),44050.66666666667)</f>
        <v>44050.66667</v>
      </c>
      <c r="D156" s="11">
        <f>IFERROR(__xludf.DUMMYFUNCTION("""COMPUTED_VALUE"""),212.48)</f>
        <v>212.48</v>
      </c>
      <c r="E156" s="10">
        <f>IFERROR(__xludf.DUMMYFUNCTION("""COMPUTED_VALUE"""),44050.66666666667)</f>
        <v>44050.66667</v>
      </c>
      <c r="F156" s="11">
        <f>IFERROR(__xludf.DUMMYFUNCTION("""COMPUTED_VALUE"""),96.85)</f>
        <v>96.85</v>
      </c>
      <c r="G156" s="12">
        <f>IFERROR(__xludf.DUMMYFUNCTION("""COMPUTED_VALUE"""),44050.66666666667)</f>
        <v>44050.66667</v>
      </c>
      <c r="H156" s="11">
        <f>IFERROR(__xludf.DUMMYFUNCTION("""COMPUTED_VALUE"""),111.11)</f>
        <v>111.11</v>
      </c>
    </row>
    <row r="157" ht="15.75" customHeight="1">
      <c r="A157" s="10">
        <f>IFERROR(__xludf.DUMMYFUNCTION("""COMPUTED_VALUE"""),44053.66666666667)</f>
        <v>44053.66667</v>
      </c>
      <c r="B157" s="11">
        <f>IFERROR(__xludf.DUMMYFUNCTION("""COMPUTED_VALUE"""),47.72)</f>
        <v>47.72</v>
      </c>
      <c r="C157" s="10">
        <f>IFERROR(__xludf.DUMMYFUNCTION("""COMPUTED_VALUE"""),44053.66666666667)</f>
        <v>44053.66667</v>
      </c>
      <c r="D157" s="11">
        <f>IFERROR(__xludf.DUMMYFUNCTION("""COMPUTED_VALUE"""),208.25)</f>
        <v>208.25</v>
      </c>
      <c r="E157" s="10">
        <f>IFERROR(__xludf.DUMMYFUNCTION("""COMPUTED_VALUE"""),44053.66666666667)</f>
        <v>44053.66667</v>
      </c>
      <c r="F157" s="11">
        <f>IFERROR(__xludf.DUMMYFUNCTION("""COMPUTED_VALUE"""),94.57)</f>
        <v>94.57</v>
      </c>
      <c r="G157" s="12">
        <f>IFERROR(__xludf.DUMMYFUNCTION("""COMPUTED_VALUE"""),44053.66666666667)</f>
        <v>44053.66667</v>
      </c>
      <c r="H157" s="11">
        <f>IFERROR(__xludf.DUMMYFUNCTION("""COMPUTED_VALUE"""),112.73)</f>
        <v>112.73</v>
      </c>
    </row>
    <row r="158" ht="15.75" customHeight="1">
      <c r="A158" s="10">
        <f>IFERROR(__xludf.DUMMYFUNCTION("""COMPUTED_VALUE"""),44054.66666666667)</f>
        <v>44054.66667</v>
      </c>
      <c r="B158" s="11">
        <f>IFERROR(__xludf.DUMMYFUNCTION("""COMPUTED_VALUE"""),47.93)</f>
        <v>47.93</v>
      </c>
      <c r="C158" s="10">
        <f>IFERROR(__xludf.DUMMYFUNCTION("""COMPUTED_VALUE"""),44054.66666666667)</f>
        <v>44054.66667</v>
      </c>
      <c r="D158" s="11">
        <f>IFERROR(__xludf.DUMMYFUNCTION("""COMPUTED_VALUE"""),203.38)</f>
        <v>203.38</v>
      </c>
      <c r="E158" s="10">
        <f>IFERROR(__xludf.DUMMYFUNCTION("""COMPUTED_VALUE"""),44054.66666666667)</f>
        <v>44054.66667</v>
      </c>
      <c r="F158" s="11">
        <f>IFERROR(__xludf.DUMMYFUNCTION("""COMPUTED_VALUE"""),91.63)</f>
        <v>91.63</v>
      </c>
      <c r="G158" s="12">
        <f>IFERROR(__xludf.DUMMYFUNCTION("""COMPUTED_VALUE"""),44054.66666666667)</f>
        <v>44054.66667</v>
      </c>
      <c r="H158" s="11">
        <f>IFERROR(__xludf.DUMMYFUNCTION("""COMPUTED_VALUE"""),109.38)</f>
        <v>109.38</v>
      </c>
    </row>
    <row r="159" ht="15.75" customHeight="1">
      <c r="A159" s="10">
        <f>IFERROR(__xludf.DUMMYFUNCTION("""COMPUTED_VALUE"""),44055.66666666667)</f>
        <v>44055.66667</v>
      </c>
      <c r="B159" s="11">
        <f>IFERROR(__xludf.DUMMYFUNCTION("""COMPUTED_VALUE"""),48.43)</f>
        <v>48.43</v>
      </c>
      <c r="C159" s="10">
        <f>IFERROR(__xludf.DUMMYFUNCTION("""COMPUTED_VALUE"""),44055.66666666667)</f>
        <v>44055.66667</v>
      </c>
      <c r="D159" s="11">
        <f>IFERROR(__xludf.DUMMYFUNCTION("""COMPUTED_VALUE"""),209.19)</f>
        <v>209.19</v>
      </c>
      <c r="E159" s="10">
        <f>IFERROR(__xludf.DUMMYFUNCTION("""COMPUTED_VALUE"""),44055.66666666667)</f>
        <v>44055.66667</v>
      </c>
      <c r="F159" s="11">
        <f>IFERROR(__xludf.DUMMYFUNCTION("""COMPUTED_VALUE"""),103.65)</f>
        <v>103.65</v>
      </c>
      <c r="G159" s="12">
        <f>IFERROR(__xludf.DUMMYFUNCTION("""COMPUTED_VALUE"""),44055.66666666667)</f>
        <v>44055.66667</v>
      </c>
      <c r="H159" s="11">
        <f>IFERROR(__xludf.DUMMYFUNCTION("""COMPUTED_VALUE"""),113.01)</f>
        <v>113.01</v>
      </c>
    </row>
    <row r="160" ht="15.75" customHeight="1">
      <c r="A160" s="10">
        <f>IFERROR(__xludf.DUMMYFUNCTION("""COMPUTED_VALUE"""),44056.66666666667)</f>
        <v>44056.66667</v>
      </c>
      <c r="B160" s="11">
        <f>IFERROR(__xludf.DUMMYFUNCTION("""COMPUTED_VALUE"""),48.38)</f>
        <v>48.38</v>
      </c>
      <c r="C160" s="10">
        <f>IFERROR(__xludf.DUMMYFUNCTION("""COMPUTED_VALUE"""),44056.66666666667)</f>
        <v>44056.66667</v>
      </c>
      <c r="D160" s="11">
        <f>IFERROR(__xludf.DUMMYFUNCTION("""COMPUTED_VALUE"""),208.7)</f>
        <v>208.7</v>
      </c>
      <c r="E160" s="10">
        <f>IFERROR(__xludf.DUMMYFUNCTION("""COMPUTED_VALUE"""),44056.66666666667)</f>
        <v>44056.66667</v>
      </c>
      <c r="F160" s="11">
        <f>IFERROR(__xludf.DUMMYFUNCTION("""COMPUTED_VALUE"""),108.07)</f>
        <v>108.07</v>
      </c>
      <c r="G160" s="12">
        <f>IFERROR(__xludf.DUMMYFUNCTION("""COMPUTED_VALUE"""),44056.66666666667)</f>
        <v>44056.66667</v>
      </c>
      <c r="H160" s="11">
        <f>IFERROR(__xludf.DUMMYFUNCTION("""COMPUTED_VALUE"""),115.01)</f>
        <v>115.01</v>
      </c>
    </row>
    <row r="161" ht="15.75" customHeight="1">
      <c r="A161" s="10">
        <f>IFERROR(__xludf.DUMMYFUNCTION("""COMPUTED_VALUE"""),44057.66666666667)</f>
        <v>44057.66667</v>
      </c>
      <c r="B161" s="11">
        <f>IFERROR(__xludf.DUMMYFUNCTION("""COMPUTED_VALUE"""),48.45)</f>
        <v>48.45</v>
      </c>
      <c r="C161" s="10">
        <f>IFERROR(__xludf.DUMMYFUNCTION("""COMPUTED_VALUE"""),44057.66666666667)</f>
        <v>44057.66667</v>
      </c>
      <c r="D161" s="11">
        <f>IFERROR(__xludf.DUMMYFUNCTION("""COMPUTED_VALUE"""),208.9)</f>
        <v>208.9</v>
      </c>
      <c r="E161" s="10">
        <f>IFERROR(__xludf.DUMMYFUNCTION("""COMPUTED_VALUE"""),44057.66666666667)</f>
        <v>44057.66667</v>
      </c>
      <c r="F161" s="11">
        <f>IFERROR(__xludf.DUMMYFUNCTION("""COMPUTED_VALUE"""),110.05)</f>
        <v>110.05</v>
      </c>
      <c r="G161" s="12">
        <f>IFERROR(__xludf.DUMMYFUNCTION("""COMPUTED_VALUE"""),44057.66666666667)</f>
        <v>44057.66667</v>
      </c>
      <c r="H161" s="11">
        <f>IFERROR(__xludf.DUMMYFUNCTION("""COMPUTED_VALUE"""),114.91)</f>
        <v>114.91</v>
      </c>
    </row>
    <row r="162" ht="15.75" customHeight="1">
      <c r="A162" s="10">
        <f>IFERROR(__xludf.DUMMYFUNCTION("""COMPUTED_VALUE"""),44060.66666666667)</f>
        <v>44060.66667</v>
      </c>
      <c r="B162" s="11">
        <f>IFERROR(__xludf.DUMMYFUNCTION("""COMPUTED_VALUE"""),48.21)</f>
        <v>48.21</v>
      </c>
      <c r="C162" s="10">
        <f>IFERROR(__xludf.DUMMYFUNCTION("""COMPUTED_VALUE"""),44060.66666666667)</f>
        <v>44060.66667</v>
      </c>
      <c r="D162" s="11">
        <f>IFERROR(__xludf.DUMMYFUNCTION("""COMPUTED_VALUE"""),210.28)</f>
        <v>210.28</v>
      </c>
      <c r="E162" s="10">
        <f>IFERROR(__xludf.DUMMYFUNCTION("""COMPUTED_VALUE"""),44060.66666666667)</f>
        <v>44060.66667</v>
      </c>
      <c r="F162" s="11">
        <f>IFERROR(__xludf.DUMMYFUNCTION("""COMPUTED_VALUE"""),122.38)</f>
        <v>122.38</v>
      </c>
      <c r="G162" s="12">
        <f>IFERROR(__xludf.DUMMYFUNCTION("""COMPUTED_VALUE"""),44060.66666666667)</f>
        <v>44060.66667</v>
      </c>
      <c r="H162" s="11">
        <f>IFERROR(__xludf.DUMMYFUNCTION("""COMPUTED_VALUE"""),114.61)</f>
        <v>114.61</v>
      </c>
    </row>
    <row r="163" ht="15.75" customHeight="1">
      <c r="A163" s="10">
        <f>IFERROR(__xludf.DUMMYFUNCTION("""COMPUTED_VALUE"""),44061.66666666667)</f>
        <v>44061.66667</v>
      </c>
      <c r="B163" s="11">
        <f>IFERROR(__xludf.DUMMYFUNCTION("""COMPUTED_VALUE"""),48.42)</f>
        <v>48.42</v>
      </c>
      <c r="C163" s="10">
        <f>IFERROR(__xludf.DUMMYFUNCTION("""COMPUTED_VALUE"""),44061.66666666667)</f>
        <v>44061.66667</v>
      </c>
      <c r="D163" s="11">
        <f>IFERROR(__xludf.DUMMYFUNCTION("""COMPUTED_VALUE"""),211.49)</f>
        <v>211.49</v>
      </c>
      <c r="E163" s="10">
        <f>IFERROR(__xludf.DUMMYFUNCTION("""COMPUTED_VALUE"""),44061.66666666667)</f>
        <v>44061.66667</v>
      </c>
      <c r="F163" s="11">
        <f>IFERROR(__xludf.DUMMYFUNCTION("""COMPUTED_VALUE"""),125.81)</f>
        <v>125.81</v>
      </c>
      <c r="G163" s="12">
        <f>IFERROR(__xludf.DUMMYFUNCTION("""COMPUTED_VALUE"""),44061.66666666667)</f>
        <v>44061.66667</v>
      </c>
      <c r="H163" s="11">
        <f>IFERROR(__xludf.DUMMYFUNCTION("""COMPUTED_VALUE"""),115.56)</f>
        <v>115.56</v>
      </c>
    </row>
    <row r="164" ht="15.75" customHeight="1">
      <c r="A164" s="10">
        <f>IFERROR(__xludf.DUMMYFUNCTION("""COMPUTED_VALUE"""),44062.66666666667)</f>
        <v>44062.66667</v>
      </c>
      <c r="B164" s="11">
        <f>IFERROR(__xludf.DUMMYFUNCTION("""COMPUTED_VALUE"""),47.37)</f>
        <v>47.37</v>
      </c>
      <c r="C164" s="10">
        <f>IFERROR(__xludf.DUMMYFUNCTION("""COMPUTED_VALUE"""),44062.66666666667)</f>
        <v>44062.66667</v>
      </c>
      <c r="D164" s="11">
        <f>IFERROR(__xludf.DUMMYFUNCTION("""COMPUTED_VALUE"""),209.7)</f>
        <v>209.7</v>
      </c>
      <c r="E164" s="10">
        <f>IFERROR(__xludf.DUMMYFUNCTION("""COMPUTED_VALUE"""),44062.66666666667)</f>
        <v>44062.66667</v>
      </c>
      <c r="F164" s="11">
        <f>IFERROR(__xludf.DUMMYFUNCTION("""COMPUTED_VALUE"""),125.24)</f>
        <v>125.24</v>
      </c>
      <c r="G164" s="12">
        <f>IFERROR(__xludf.DUMMYFUNCTION("""COMPUTED_VALUE"""),44062.66666666667)</f>
        <v>44062.66667</v>
      </c>
      <c r="H164" s="11">
        <f>IFERROR(__xludf.DUMMYFUNCTION("""COMPUTED_VALUE"""),115.71)</f>
        <v>115.71</v>
      </c>
    </row>
    <row r="165" ht="15.75" customHeight="1">
      <c r="A165" s="10">
        <f>IFERROR(__xludf.DUMMYFUNCTION("""COMPUTED_VALUE"""),44063.66666666667)</f>
        <v>44063.66667</v>
      </c>
      <c r="B165" s="11">
        <f>IFERROR(__xludf.DUMMYFUNCTION("""COMPUTED_VALUE"""),47.35)</f>
        <v>47.35</v>
      </c>
      <c r="C165" s="10">
        <f>IFERROR(__xludf.DUMMYFUNCTION("""COMPUTED_VALUE"""),44063.66666666667)</f>
        <v>44063.66667</v>
      </c>
      <c r="D165" s="11">
        <f>IFERROR(__xludf.DUMMYFUNCTION("""COMPUTED_VALUE"""),214.58)</f>
        <v>214.58</v>
      </c>
      <c r="E165" s="10">
        <f>IFERROR(__xludf.DUMMYFUNCTION("""COMPUTED_VALUE"""),44063.66666666667)</f>
        <v>44063.66667</v>
      </c>
      <c r="F165" s="11">
        <f>IFERROR(__xludf.DUMMYFUNCTION("""COMPUTED_VALUE"""),133.46)</f>
        <v>133.46</v>
      </c>
      <c r="G165" s="12">
        <f>IFERROR(__xludf.DUMMYFUNCTION("""COMPUTED_VALUE"""),44063.66666666667)</f>
        <v>44063.66667</v>
      </c>
      <c r="H165" s="11">
        <f>IFERROR(__xludf.DUMMYFUNCTION("""COMPUTED_VALUE"""),118.28)</f>
        <v>118.28</v>
      </c>
    </row>
    <row r="166" ht="15.75" customHeight="1">
      <c r="A166" s="10">
        <f>IFERROR(__xludf.DUMMYFUNCTION("""COMPUTED_VALUE"""),44064.66666666667)</f>
        <v>44064.66667</v>
      </c>
      <c r="B166" s="11">
        <f>IFERROR(__xludf.DUMMYFUNCTION("""COMPUTED_VALUE"""),47.28)</f>
        <v>47.28</v>
      </c>
      <c r="C166" s="10">
        <f>IFERROR(__xludf.DUMMYFUNCTION("""COMPUTED_VALUE"""),44064.66666666667)</f>
        <v>44064.66667</v>
      </c>
      <c r="D166" s="11">
        <f>IFERROR(__xludf.DUMMYFUNCTION("""COMPUTED_VALUE"""),213.02)</f>
        <v>213.02</v>
      </c>
      <c r="E166" s="10">
        <f>IFERROR(__xludf.DUMMYFUNCTION("""COMPUTED_VALUE"""),44064.66666666667)</f>
        <v>44064.66667</v>
      </c>
      <c r="F166" s="11">
        <f>IFERROR(__xludf.DUMMYFUNCTION("""COMPUTED_VALUE"""),136.67)</f>
        <v>136.67</v>
      </c>
      <c r="G166" s="12">
        <f>IFERROR(__xludf.DUMMYFUNCTION("""COMPUTED_VALUE"""),44064.66666666667)</f>
        <v>44064.66667</v>
      </c>
      <c r="H166" s="11">
        <f>IFERROR(__xludf.DUMMYFUNCTION("""COMPUTED_VALUE"""),124.37)</f>
        <v>124.37</v>
      </c>
    </row>
    <row r="167" ht="15.75" customHeight="1">
      <c r="A167" s="10">
        <f>IFERROR(__xludf.DUMMYFUNCTION("""COMPUTED_VALUE"""),44067.66666666667)</f>
        <v>44067.66667</v>
      </c>
      <c r="B167" s="11">
        <f>IFERROR(__xludf.DUMMYFUNCTION("""COMPUTED_VALUE"""),47.97)</f>
        <v>47.97</v>
      </c>
      <c r="C167" s="10">
        <f>IFERROR(__xludf.DUMMYFUNCTION("""COMPUTED_VALUE"""),44067.66666666667)</f>
        <v>44067.66667</v>
      </c>
      <c r="D167" s="11">
        <f>IFERROR(__xludf.DUMMYFUNCTION("""COMPUTED_VALUE"""),213.69)</f>
        <v>213.69</v>
      </c>
      <c r="E167" s="10">
        <f>IFERROR(__xludf.DUMMYFUNCTION("""COMPUTED_VALUE"""),44067.66666666667)</f>
        <v>44067.66667</v>
      </c>
      <c r="F167" s="11">
        <f>IFERROR(__xludf.DUMMYFUNCTION("""COMPUTED_VALUE"""),134.28)</f>
        <v>134.28</v>
      </c>
      <c r="G167" s="12">
        <f>IFERROR(__xludf.DUMMYFUNCTION("""COMPUTED_VALUE"""),44067.66666666667)</f>
        <v>44067.66667</v>
      </c>
      <c r="H167" s="11">
        <f>IFERROR(__xludf.DUMMYFUNCTION("""COMPUTED_VALUE"""),125.86)</f>
        <v>125.86</v>
      </c>
    </row>
    <row r="168" ht="15.75" customHeight="1">
      <c r="A168" s="10">
        <f>IFERROR(__xludf.DUMMYFUNCTION("""COMPUTED_VALUE"""),44068.66666666667)</f>
        <v>44068.66667</v>
      </c>
      <c r="B168" s="11">
        <f>IFERROR(__xludf.DUMMYFUNCTION("""COMPUTED_VALUE"""),47.91)</f>
        <v>47.91</v>
      </c>
      <c r="C168" s="10">
        <f>IFERROR(__xludf.DUMMYFUNCTION("""COMPUTED_VALUE"""),44068.66666666667)</f>
        <v>44068.66667</v>
      </c>
      <c r="D168" s="11">
        <f>IFERROR(__xludf.DUMMYFUNCTION("""COMPUTED_VALUE"""),216.47)</f>
        <v>216.47</v>
      </c>
      <c r="E168" s="10">
        <f>IFERROR(__xludf.DUMMYFUNCTION("""COMPUTED_VALUE"""),44068.66666666667)</f>
        <v>44068.66667</v>
      </c>
      <c r="F168" s="11">
        <f>IFERROR(__xludf.DUMMYFUNCTION("""COMPUTED_VALUE"""),134.89)</f>
        <v>134.89</v>
      </c>
      <c r="G168" s="12">
        <f>IFERROR(__xludf.DUMMYFUNCTION("""COMPUTED_VALUE"""),44068.66666666667)</f>
        <v>44068.66667</v>
      </c>
      <c r="H168" s="11">
        <f>IFERROR(__xludf.DUMMYFUNCTION("""COMPUTED_VALUE"""),124.83)</f>
        <v>124.83</v>
      </c>
    </row>
    <row r="169" ht="15.75" customHeight="1">
      <c r="A169" s="10">
        <f>IFERROR(__xludf.DUMMYFUNCTION("""COMPUTED_VALUE"""),44069.66666666667)</f>
        <v>44069.66667</v>
      </c>
      <c r="B169" s="11">
        <f>IFERROR(__xludf.DUMMYFUNCTION("""COMPUTED_VALUE"""),48.16)</f>
        <v>48.16</v>
      </c>
      <c r="C169" s="10">
        <f>IFERROR(__xludf.DUMMYFUNCTION("""COMPUTED_VALUE"""),44069.66666666667)</f>
        <v>44069.66667</v>
      </c>
      <c r="D169" s="11">
        <f>IFERROR(__xludf.DUMMYFUNCTION("""COMPUTED_VALUE"""),221.15)</f>
        <v>221.15</v>
      </c>
      <c r="E169" s="10">
        <f>IFERROR(__xludf.DUMMYFUNCTION("""COMPUTED_VALUE"""),44069.66666666667)</f>
        <v>44069.66667</v>
      </c>
      <c r="F169" s="11">
        <f>IFERROR(__xludf.DUMMYFUNCTION("""COMPUTED_VALUE"""),143.54)</f>
        <v>143.54</v>
      </c>
      <c r="G169" s="12">
        <f>IFERROR(__xludf.DUMMYFUNCTION("""COMPUTED_VALUE"""),44069.66666666667)</f>
        <v>44069.66667</v>
      </c>
      <c r="H169" s="11">
        <f>IFERROR(__xludf.DUMMYFUNCTION("""COMPUTED_VALUE"""),126.52)</f>
        <v>126.52</v>
      </c>
    </row>
    <row r="170" ht="15.75" customHeight="1">
      <c r="A170" s="10">
        <f>IFERROR(__xludf.DUMMYFUNCTION("""COMPUTED_VALUE"""),44070.66666666667)</f>
        <v>44070.66667</v>
      </c>
      <c r="B170" s="11">
        <f>IFERROR(__xludf.DUMMYFUNCTION("""COMPUTED_VALUE"""),48.23)</f>
        <v>48.23</v>
      </c>
      <c r="C170" s="10">
        <f>IFERROR(__xludf.DUMMYFUNCTION("""COMPUTED_VALUE"""),44070.66666666667)</f>
        <v>44070.66667</v>
      </c>
      <c r="D170" s="11">
        <f>IFERROR(__xludf.DUMMYFUNCTION("""COMPUTED_VALUE"""),226.58)</f>
        <v>226.58</v>
      </c>
      <c r="E170" s="10">
        <f>IFERROR(__xludf.DUMMYFUNCTION("""COMPUTED_VALUE"""),44070.66666666667)</f>
        <v>44070.66667</v>
      </c>
      <c r="F170" s="11">
        <f>IFERROR(__xludf.DUMMYFUNCTION("""COMPUTED_VALUE"""),149.25)</f>
        <v>149.25</v>
      </c>
      <c r="G170" s="12">
        <f>IFERROR(__xludf.DUMMYFUNCTION("""COMPUTED_VALUE"""),44070.66666666667)</f>
        <v>44070.66667</v>
      </c>
      <c r="H170" s="11">
        <f>IFERROR(__xludf.DUMMYFUNCTION("""COMPUTED_VALUE"""),125.01)</f>
        <v>125.01</v>
      </c>
    </row>
    <row r="171" ht="15.75" customHeight="1">
      <c r="A171" s="10">
        <f>IFERROR(__xludf.DUMMYFUNCTION("""COMPUTED_VALUE"""),44071.66666666667)</f>
        <v>44071.66667</v>
      </c>
      <c r="B171" s="11">
        <f>IFERROR(__xludf.DUMMYFUNCTION("""COMPUTED_VALUE"""),49.83)</f>
        <v>49.83</v>
      </c>
      <c r="C171" s="10">
        <f>IFERROR(__xludf.DUMMYFUNCTION("""COMPUTED_VALUE"""),44071.66666666667)</f>
        <v>44071.66667</v>
      </c>
      <c r="D171" s="11">
        <f>IFERROR(__xludf.DUMMYFUNCTION("""COMPUTED_VALUE"""),228.91)</f>
        <v>228.91</v>
      </c>
      <c r="E171" s="10">
        <f>IFERROR(__xludf.DUMMYFUNCTION("""COMPUTED_VALUE"""),44071.66666666667)</f>
        <v>44071.66667</v>
      </c>
      <c r="F171" s="11">
        <f>IFERROR(__xludf.DUMMYFUNCTION("""COMPUTED_VALUE"""),147.56)</f>
        <v>147.56</v>
      </c>
      <c r="G171" s="12">
        <f>IFERROR(__xludf.DUMMYFUNCTION("""COMPUTED_VALUE"""),44071.66666666667)</f>
        <v>44071.66667</v>
      </c>
      <c r="H171" s="11">
        <f>IFERROR(__xludf.DUMMYFUNCTION("""COMPUTED_VALUE"""),124.81)</f>
        <v>124.81</v>
      </c>
    </row>
    <row r="172" ht="15.75" customHeight="1">
      <c r="A172" s="10">
        <f>IFERROR(__xludf.DUMMYFUNCTION("""COMPUTED_VALUE"""),44074.66666666667)</f>
        <v>44074.66667</v>
      </c>
      <c r="B172" s="11">
        <f>IFERROR(__xludf.DUMMYFUNCTION("""COMPUTED_VALUE"""),49.53)</f>
        <v>49.53</v>
      </c>
      <c r="C172" s="10">
        <f>IFERROR(__xludf.DUMMYFUNCTION("""COMPUTED_VALUE"""),44074.66666666667)</f>
        <v>44074.66667</v>
      </c>
      <c r="D172" s="11">
        <f>IFERROR(__xludf.DUMMYFUNCTION("""COMPUTED_VALUE"""),225.53)</f>
        <v>225.53</v>
      </c>
      <c r="E172" s="10">
        <f>IFERROR(__xludf.DUMMYFUNCTION("""COMPUTED_VALUE"""),44074.66666666667)</f>
        <v>44074.66667</v>
      </c>
      <c r="F172" s="11">
        <f>IFERROR(__xludf.DUMMYFUNCTION("""COMPUTED_VALUE"""),166.11)</f>
        <v>166.11</v>
      </c>
      <c r="G172" s="12">
        <f>IFERROR(__xludf.DUMMYFUNCTION("""COMPUTED_VALUE"""),44074.66666666667)</f>
        <v>44074.66667</v>
      </c>
      <c r="H172" s="11">
        <f>IFERROR(__xludf.DUMMYFUNCTION("""COMPUTED_VALUE"""),129.04)</f>
        <v>129.04</v>
      </c>
    </row>
    <row r="173" ht="15.75" customHeight="1">
      <c r="A173" s="10">
        <f>IFERROR(__xludf.DUMMYFUNCTION("""COMPUTED_VALUE"""),44075.66666666667)</f>
        <v>44075.66667</v>
      </c>
      <c r="B173" s="11">
        <f>IFERROR(__xludf.DUMMYFUNCTION("""COMPUTED_VALUE"""),49.12)</f>
        <v>49.12</v>
      </c>
      <c r="C173" s="10">
        <f>IFERROR(__xludf.DUMMYFUNCTION("""COMPUTED_VALUE"""),44075.66666666667)</f>
        <v>44075.66667</v>
      </c>
      <c r="D173" s="11">
        <f>IFERROR(__xludf.DUMMYFUNCTION("""COMPUTED_VALUE"""),227.27)</f>
        <v>227.27</v>
      </c>
      <c r="E173" s="10">
        <f>IFERROR(__xludf.DUMMYFUNCTION("""COMPUTED_VALUE"""),44075.66666666667)</f>
        <v>44075.66667</v>
      </c>
      <c r="F173" s="11">
        <f>IFERROR(__xludf.DUMMYFUNCTION("""COMPUTED_VALUE"""),158.35)</f>
        <v>158.35</v>
      </c>
      <c r="G173" s="12">
        <f>IFERROR(__xludf.DUMMYFUNCTION("""COMPUTED_VALUE"""),44075.66666666667)</f>
        <v>44075.66667</v>
      </c>
      <c r="H173" s="11">
        <f>IFERROR(__xludf.DUMMYFUNCTION("""COMPUTED_VALUE"""),134.18)</f>
        <v>134.18</v>
      </c>
    </row>
    <row r="174" ht="15.75" customHeight="1">
      <c r="A174" s="10">
        <f>IFERROR(__xludf.DUMMYFUNCTION("""COMPUTED_VALUE"""),44076.66666666667)</f>
        <v>44076.66667</v>
      </c>
      <c r="B174" s="11">
        <f>IFERROR(__xludf.DUMMYFUNCTION("""COMPUTED_VALUE"""),51.19)</f>
        <v>51.19</v>
      </c>
      <c r="C174" s="10">
        <f>IFERROR(__xludf.DUMMYFUNCTION("""COMPUTED_VALUE"""),44076.66666666667)</f>
        <v>44076.66667</v>
      </c>
      <c r="D174" s="11">
        <f>IFERROR(__xludf.DUMMYFUNCTION("""COMPUTED_VALUE"""),231.65)</f>
        <v>231.65</v>
      </c>
      <c r="E174" s="10">
        <f>IFERROR(__xludf.DUMMYFUNCTION("""COMPUTED_VALUE"""),44076.66666666667)</f>
        <v>44076.66667</v>
      </c>
      <c r="F174" s="11">
        <f>IFERROR(__xludf.DUMMYFUNCTION("""COMPUTED_VALUE"""),149.12)</f>
        <v>149.12</v>
      </c>
      <c r="G174" s="12">
        <f>IFERROR(__xludf.DUMMYFUNCTION("""COMPUTED_VALUE"""),44076.66666666667)</f>
        <v>44076.66667</v>
      </c>
      <c r="H174" s="11">
        <f>IFERROR(__xludf.DUMMYFUNCTION("""COMPUTED_VALUE"""),131.4)</f>
        <v>131.4</v>
      </c>
    </row>
    <row r="175" ht="15.75" customHeight="1">
      <c r="A175" s="10">
        <f>IFERROR(__xludf.DUMMYFUNCTION("""COMPUTED_VALUE"""),44077.66666666667)</f>
        <v>44077.66667</v>
      </c>
      <c r="B175" s="11">
        <f>IFERROR(__xludf.DUMMYFUNCTION("""COMPUTED_VALUE"""),50.48)</f>
        <v>50.48</v>
      </c>
      <c r="C175" s="10">
        <f>IFERROR(__xludf.DUMMYFUNCTION("""COMPUTED_VALUE"""),44077.66666666667)</f>
        <v>44077.66667</v>
      </c>
      <c r="D175" s="11">
        <f>IFERROR(__xludf.DUMMYFUNCTION("""COMPUTED_VALUE"""),217.3)</f>
        <v>217.3</v>
      </c>
      <c r="E175" s="10">
        <f>IFERROR(__xludf.DUMMYFUNCTION("""COMPUTED_VALUE"""),44077.66666666667)</f>
        <v>44077.66667</v>
      </c>
      <c r="F175" s="11">
        <f>IFERROR(__xludf.DUMMYFUNCTION("""COMPUTED_VALUE"""),135.67)</f>
        <v>135.67</v>
      </c>
      <c r="G175" s="12">
        <f>IFERROR(__xludf.DUMMYFUNCTION("""COMPUTED_VALUE"""),44077.66666666667)</f>
        <v>44077.66667</v>
      </c>
      <c r="H175" s="11">
        <f>IFERROR(__xludf.DUMMYFUNCTION("""COMPUTED_VALUE"""),120.88)</f>
        <v>120.88</v>
      </c>
    </row>
    <row r="176" ht="15.75" customHeight="1">
      <c r="A176" s="10">
        <f>IFERROR(__xludf.DUMMYFUNCTION("""COMPUTED_VALUE"""),44078.66666666667)</f>
        <v>44078.66667</v>
      </c>
      <c r="B176" s="11">
        <f>IFERROR(__xludf.DUMMYFUNCTION("""COMPUTED_VALUE"""),51.04)</f>
        <v>51.04</v>
      </c>
      <c r="C176" s="10">
        <f>IFERROR(__xludf.DUMMYFUNCTION("""COMPUTED_VALUE"""),44078.66666666667)</f>
        <v>44078.66667</v>
      </c>
      <c r="D176" s="11">
        <f>IFERROR(__xludf.DUMMYFUNCTION("""COMPUTED_VALUE"""),214.25)</f>
        <v>214.25</v>
      </c>
      <c r="E176" s="10">
        <f>IFERROR(__xludf.DUMMYFUNCTION("""COMPUTED_VALUE"""),44078.66666666667)</f>
        <v>44078.66667</v>
      </c>
      <c r="F176" s="11">
        <f>IFERROR(__xludf.DUMMYFUNCTION("""COMPUTED_VALUE"""),139.44)</f>
        <v>139.44</v>
      </c>
      <c r="G176" s="12">
        <f>IFERROR(__xludf.DUMMYFUNCTION("""COMPUTED_VALUE"""),44078.66666666667)</f>
        <v>44078.66667</v>
      </c>
      <c r="H176" s="11">
        <f>IFERROR(__xludf.DUMMYFUNCTION("""COMPUTED_VALUE"""),120.96)</f>
        <v>120.96</v>
      </c>
    </row>
    <row r="177" ht="15.75" customHeight="1">
      <c r="A177" s="10">
        <f>IFERROR(__xludf.DUMMYFUNCTION("""COMPUTED_VALUE"""),44082.66666666667)</f>
        <v>44082.66667</v>
      </c>
      <c r="B177" s="11">
        <f>IFERROR(__xludf.DUMMYFUNCTION("""COMPUTED_VALUE"""),49.81)</f>
        <v>49.81</v>
      </c>
      <c r="C177" s="10">
        <f>IFERROR(__xludf.DUMMYFUNCTION("""COMPUTED_VALUE"""),44082.66666666667)</f>
        <v>44082.66667</v>
      </c>
      <c r="D177" s="11">
        <f>IFERROR(__xludf.DUMMYFUNCTION("""COMPUTED_VALUE"""),202.66)</f>
        <v>202.66</v>
      </c>
      <c r="E177" s="10">
        <f>IFERROR(__xludf.DUMMYFUNCTION("""COMPUTED_VALUE"""),44082.66666666667)</f>
        <v>44082.66667</v>
      </c>
      <c r="F177" s="11">
        <f>IFERROR(__xludf.DUMMYFUNCTION("""COMPUTED_VALUE"""),110.07)</f>
        <v>110.07</v>
      </c>
      <c r="G177" s="12">
        <f>IFERROR(__xludf.DUMMYFUNCTION("""COMPUTED_VALUE"""),44082.66666666667)</f>
        <v>44082.66667</v>
      </c>
      <c r="H177" s="11">
        <f>IFERROR(__xludf.DUMMYFUNCTION("""COMPUTED_VALUE"""),112.82)</f>
        <v>112.82</v>
      </c>
    </row>
    <row r="178" ht="15.75" customHeight="1">
      <c r="A178" s="10">
        <f>IFERROR(__xludf.DUMMYFUNCTION("""COMPUTED_VALUE"""),44083.66666666667)</f>
        <v>44083.66667</v>
      </c>
      <c r="B178" s="11">
        <f>IFERROR(__xludf.DUMMYFUNCTION("""COMPUTED_VALUE"""),50.19)</f>
        <v>50.19</v>
      </c>
      <c r="C178" s="10">
        <f>IFERROR(__xludf.DUMMYFUNCTION("""COMPUTED_VALUE"""),44083.66666666667)</f>
        <v>44083.66667</v>
      </c>
      <c r="D178" s="11">
        <f>IFERROR(__xludf.DUMMYFUNCTION("""COMPUTED_VALUE"""),211.29)</f>
        <v>211.29</v>
      </c>
      <c r="E178" s="10">
        <f>IFERROR(__xludf.DUMMYFUNCTION("""COMPUTED_VALUE"""),44083.66666666667)</f>
        <v>44083.66667</v>
      </c>
      <c r="F178" s="11">
        <f>IFERROR(__xludf.DUMMYFUNCTION("""COMPUTED_VALUE"""),122.09)</f>
        <v>122.09</v>
      </c>
      <c r="G178" s="12">
        <f>IFERROR(__xludf.DUMMYFUNCTION("""COMPUTED_VALUE"""),44083.66666666667)</f>
        <v>44083.66667</v>
      </c>
      <c r="H178" s="11">
        <f>IFERROR(__xludf.DUMMYFUNCTION("""COMPUTED_VALUE"""),117.32)</f>
        <v>117.32</v>
      </c>
    </row>
    <row r="179" ht="15.75" customHeight="1">
      <c r="A179" s="10">
        <f>IFERROR(__xludf.DUMMYFUNCTION("""COMPUTED_VALUE"""),44084.66666666667)</f>
        <v>44084.66667</v>
      </c>
      <c r="B179" s="11">
        <f>IFERROR(__xludf.DUMMYFUNCTION("""COMPUTED_VALUE"""),50.0)</f>
        <v>50</v>
      </c>
      <c r="C179" s="10">
        <f>IFERROR(__xludf.DUMMYFUNCTION("""COMPUTED_VALUE"""),44084.66666666667)</f>
        <v>44084.66667</v>
      </c>
      <c r="D179" s="11">
        <f>IFERROR(__xludf.DUMMYFUNCTION("""COMPUTED_VALUE"""),205.37)</f>
        <v>205.37</v>
      </c>
      <c r="E179" s="10">
        <f>IFERROR(__xludf.DUMMYFUNCTION("""COMPUTED_VALUE"""),44084.66666666667)</f>
        <v>44084.66667</v>
      </c>
      <c r="F179" s="11">
        <f>IFERROR(__xludf.DUMMYFUNCTION("""COMPUTED_VALUE"""),123.78)</f>
        <v>123.78</v>
      </c>
      <c r="G179" s="12">
        <f>IFERROR(__xludf.DUMMYFUNCTION("""COMPUTED_VALUE"""),44084.66666666667)</f>
        <v>44084.66667</v>
      </c>
      <c r="H179" s="11">
        <f>IFERROR(__xludf.DUMMYFUNCTION("""COMPUTED_VALUE"""),113.49)</f>
        <v>113.49</v>
      </c>
    </row>
    <row r="180" ht="15.75" customHeight="1">
      <c r="A180" s="10">
        <f>IFERROR(__xludf.DUMMYFUNCTION("""COMPUTED_VALUE"""),44085.66666666667)</f>
        <v>44085.66667</v>
      </c>
      <c r="B180" s="11">
        <f>IFERROR(__xludf.DUMMYFUNCTION("""COMPUTED_VALUE"""),51.06)</f>
        <v>51.06</v>
      </c>
      <c r="C180" s="10">
        <f>IFERROR(__xludf.DUMMYFUNCTION("""COMPUTED_VALUE"""),44085.66666666667)</f>
        <v>44085.66667</v>
      </c>
      <c r="D180" s="11">
        <f>IFERROR(__xludf.DUMMYFUNCTION("""COMPUTED_VALUE"""),204.03)</f>
        <v>204.03</v>
      </c>
      <c r="E180" s="10">
        <f>IFERROR(__xludf.DUMMYFUNCTION("""COMPUTED_VALUE"""),44085.66666666667)</f>
        <v>44085.66667</v>
      </c>
      <c r="F180" s="11">
        <f>IFERROR(__xludf.DUMMYFUNCTION("""COMPUTED_VALUE"""),124.24)</f>
        <v>124.24</v>
      </c>
      <c r="G180" s="12">
        <f>IFERROR(__xludf.DUMMYFUNCTION("""COMPUTED_VALUE"""),44085.66666666667)</f>
        <v>44085.66667</v>
      </c>
      <c r="H180" s="11">
        <f>IFERROR(__xludf.DUMMYFUNCTION("""COMPUTED_VALUE"""),112.0)</f>
        <v>112</v>
      </c>
    </row>
    <row r="181" ht="15.75" customHeight="1">
      <c r="A181" s="10">
        <f>IFERROR(__xludf.DUMMYFUNCTION("""COMPUTED_VALUE"""),44088.66666666667)</f>
        <v>44088.66667</v>
      </c>
      <c r="B181" s="11">
        <f>IFERROR(__xludf.DUMMYFUNCTION("""COMPUTED_VALUE"""),50.71)</f>
        <v>50.71</v>
      </c>
      <c r="C181" s="10">
        <f>IFERROR(__xludf.DUMMYFUNCTION("""COMPUTED_VALUE"""),44088.66666666667)</f>
        <v>44088.66667</v>
      </c>
      <c r="D181" s="11">
        <f>IFERROR(__xludf.DUMMYFUNCTION("""COMPUTED_VALUE"""),205.41)</f>
        <v>205.41</v>
      </c>
      <c r="E181" s="10">
        <f>IFERROR(__xludf.DUMMYFUNCTION("""COMPUTED_VALUE"""),44088.66666666667)</f>
        <v>44088.66667</v>
      </c>
      <c r="F181" s="11">
        <f>IFERROR(__xludf.DUMMYFUNCTION("""COMPUTED_VALUE"""),139.87)</f>
        <v>139.87</v>
      </c>
      <c r="G181" s="12">
        <f>IFERROR(__xludf.DUMMYFUNCTION("""COMPUTED_VALUE"""),44088.66666666667)</f>
        <v>44088.66667</v>
      </c>
      <c r="H181" s="11">
        <f>IFERROR(__xludf.DUMMYFUNCTION("""COMPUTED_VALUE"""),115.36)</f>
        <v>115.36</v>
      </c>
    </row>
    <row r="182" ht="15.75" customHeight="1">
      <c r="A182" s="10">
        <f>IFERROR(__xludf.DUMMYFUNCTION("""COMPUTED_VALUE"""),44089.66666666667)</f>
        <v>44089.66667</v>
      </c>
      <c r="B182" s="11">
        <f>IFERROR(__xludf.DUMMYFUNCTION("""COMPUTED_VALUE"""),51.05)</f>
        <v>51.05</v>
      </c>
      <c r="C182" s="10">
        <f>IFERROR(__xludf.DUMMYFUNCTION("""COMPUTED_VALUE"""),44089.66666666667)</f>
        <v>44089.66667</v>
      </c>
      <c r="D182" s="11">
        <f>IFERROR(__xludf.DUMMYFUNCTION("""COMPUTED_VALUE"""),208.78)</f>
        <v>208.78</v>
      </c>
      <c r="E182" s="10">
        <f>IFERROR(__xludf.DUMMYFUNCTION("""COMPUTED_VALUE"""),44089.66666666667)</f>
        <v>44089.66667</v>
      </c>
      <c r="F182" s="11">
        <f>IFERROR(__xludf.DUMMYFUNCTION("""COMPUTED_VALUE"""),149.92)</f>
        <v>149.92</v>
      </c>
      <c r="G182" s="12">
        <f>IFERROR(__xludf.DUMMYFUNCTION("""COMPUTED_VALUE"""),44089.66666666667)</f>
        <v>44089.66667</v>
      </c>
      <c r="H182" s="11">
        <f>IFERROR(__xludf.DUMMYFUNCTION("""COMPUTED_VALUE"""),115.54)</f>
        <v>115.54</v>
      </c>
    </row>
    <row r="183" ht="15.75" customHeight="1">
      <c r="A183" s="10">
        <f>IFERROR(__xludf.DUMMYFUNCTION("""COMPUTED_VALUE"""),44090.66666666667)</f>
        <v>44090.66667</v>
      </c>
      <c r="B183" s="11">
        <f>IFERROR(__xludf.DUMMYFUNCTION("""COMPUTED_VALUE"""),50.79)</f>
        <v>50.79</v>
      </c>
      <c r="C183" s="10">
        <f>IFERROR(__xludf.DUMMYFUNCTION("""COMPUTED_VALUE"""),44090.66666666667)</f>
        <v>44090.66667</v>
      </c>
      <c r="D183" s="11">
        <f>IFERROR(__xludf.DUMMYFUNCTION("""COMPUTED_VALUE"""),205.05)</f>
        <v>205.05</v>
      </c>
      <c r="E183" s="10">
        <f>IFERROR(__xludf.DUMMYFUNCTION("""COMPUTED_VALUE"""),44090.66666666667)</f>
        <v>44090.66667</v>
      </c>
      <c r="F183" s="11">
        <f>IFERROR(__xludf.DUMMYFUNCTION("""COMPUTED_VALUE"""),147.25)</f>
        <v>147.25</v>
      </c>
      <c r="G183" s="12">
        <f>IFERROR(__xludf.DUMMYFUNCTION("""COMPUTED_VALUE"""),44090.66666666667)</f>
        <v>44090.66667</v>
      </c>
      <c r="H183" s="11">
        <f>IFERROR(__xludf.DUMMYFUNCTION("""COMPUTED_VALUE"""),112.13)</f>
        <v>112.13</v>
      </c>
    </row>
    <row r="184" ht="15.75" customHeight="1">
      <c r="A184" s="10">
        <f>IFERROR(__xludf.DUMMYFUNCTION("""COMPUTED_VALUE"""),44091.66666666667)</f>
        <v>44091.66667</v>
      </c>
      <c r="B184" s="11">
        <f>IFERROR(__xludf.DUMMYFUNCTION("""COMPUTED_VALUE"""),50.55)</f>
        <v>50.55</v>
      </c>
      <c r="C184" s="10">
        <f>IFERROR(__xludf.DUMMYFUNCTION("""COMPUTED_VALUE"""),44091.66666666667)</f>
        <v>44091.66667</v>
      </c>
      <c r="D184" s="11">
        <f>IFERROR(__xludf.DUMMYFUNCTION("""COMPUTED_VALUE"""),202.91)</f>
        <v>202.91</v>
      </c>
      <c r="E184" s="10">
        <f>IFERROR(__xludf.DUMMYFUNCTION("""COMPUTED_VALUE"""),44091.66666666667)</f>
        <v>44091.66667</v>
      </c>
      <c r="F184" s="11">
        <f>IFERROR(__xludf.DUMMYFUNCTION("""COMPUTED_VALUE"""),141.14)</f>
        <v>141.14</v>
      </c>
      <c r="G184" s="12">
        <f>IFERROR(__xludf.DUMMYFUNCTION("""COMPUTED_VALUE"""),44091.66666666667)</f>
        <v>44091.66667</v>
      </c>
      <c r="H184" s="11">
        <f>IFERROR(__xludf.DUMMYFUNCTION("""COMPUTED_VALUE"""),110.34)</f>
        <v>110.34</v>
      </c>
    </row>
    <row r="185" ht="15.75" customHeight="1">
      <c r="A185" s="10">
        <f>IFERROR(__xludf.DUMMYFUNCTION("""COMPUTED_VALUE"""),44092.66666666667)</f>
        <v>44092.66667</v>
      </c>
      <c r="B185" s="11">
        <f>IFERROR(__xludf.DUMMYFUNCTION("""COMPUTED_VALUE"""),50.45)</f>
        <v>50.45</v>
      </c>
      <c r="C185" s="10">
        <f>IFERROR(__xludf.DUMMYFUNCTION("""COMPUTED_VALUE"""),44092.66666666667)</f>
        <v>44092.66667</v>
      </c>
      <c r="D185" s="11">
        <f>IFERROR(__xludf.DUMMYFUNCTION("""COMPUTED_VALUE"""),200.39)</f>
        <v>200.39</v>
      </c>
      <c r="E185" s="10">
        <f>IFERROR(__xludf.DUMMYFUNCTION("""COMPUTED_VALUE"""),44092.66666666667)</f>
        <v>44092.66667</v>
      </c>
      <c r="F185" s="11">
        <f>IFERROR(__xludf.DUMMYFUNCTION("""COMPUTED_VALUE"""),147.38)</f>
        <v>147.38</v>
      </c>
      <c r="G185" s="12">
        <f>IFERROR(__xludf.DUMMYFUNCTION("""COMPUTED_VALUE"""),44092.66666666667)</f>
        <v>44092.66667</v>
      </c>
      <c r="H185" s="11">
        <f>IFERROR(__xludf.DUMMYFUNCTION("""COMPUTED_VALUE"""),106.84)</f>
        <v>106.84</v>
      </c>
    </row>
    <row r="186" ht="15.75" customHeight="1">
      <c r="A186" s="10">
        <f>IFERROR(__xludf.DUMMYFUNCTION("""COMPUTED_VALUE"""),44095.66666666667)</f>
        <v>44095.66667</v>
      </c>
      <c r="B186" s="11">
        <f>IFERROR(__xludf.DUMMYFUNCTION("""COMPUTED_VALUE"""),49.09)</f>
        <v>49.09</v>
      </c>
      <c r="C186" s="10">
        <f>IFERROR(__xludf.DUMMYFUNCTION("""COMPUTED_VALUE"""),44095.66666666667)</f>
        <v>44095.66667</v>
      </c>
      <c r="D186" s="11">
        <f>IFERROR(__xludf.DUMMYFUNCTION("""COMPUTED_VALUE"""),202.54)</f>
        <v>202.54</v>
      </c>
      <c r="E186" s="10">
        <f>IFERROR(__xludf.DUMMYFUNCTION("""COMPUTED_VALUE"""),44095.66666666667)</f>
        <v>44095.66667</v>
      </c>
      <c r="F186" s="11">
        <f>IFERROR(__xludf.DUMMYFUNCTION("""COMPUTED_VALUE"""),149.8)</f>
        <v>149.8</v>
      </c>
      <c r="G186" s="12">
        <f>IFERROR(__xludf.DUMMYFUNCTION("""COMPUTED_VALUE"""),44095.66666666667)</f>
        <v>44095.66667</v>
      </c>
      <c r="H186" s="11">
        <f>IFERROR(__xludf.DUMMYFUNCTION("""COMPUTED_VALUE"""),110.08)</f>
        <v>110.08</v>
      </c>
    </row>
    <row r="187" ht="15.75" customHeight="1">
      <c r="A187" s="10">
        <f>IFERROR(__xludf.DUMMYFUNCTION("""COMPUTED_VALUE"""),44096.66666666667)</f>
        <v>44096.66667</v>
      </c>
      <c r="B187" s="11">
        <f>IFERROR(__xludf.DUMMYFUNCTION("""COMPUTED_VALUE"""),49.66)</f>
        <v>49.66</v>
      </c>
      <c r="C187" s="10">
        <f>IFERROR(__xludf.DUMMYFUNCTION("""COMPUTED_VALUE"""),44096.66666666667)</f>
        <v>44096.66667</v>
      </c>
      <c r="D187" s="11">
        <f>IFERROR(__xludf.DUMMYFUNCTION("""COMPUTED_VALUE"""),207.42)</f>
        <v>207.42</v>
      </c>
      <c r="E187" s="10">
        <f>IFERROR(__xludf.DUMMYFUNCTION("""COMPUTED_VALUE"""),44096.66666666667)</f>
        <v>44096.66667</v>
      </c>
      <c r="F187" s="11">
        <f>IFERROR(__xludf.DUMMYFUNCTION("""COMPUTED_VALUE"""),141.41)</f>
        <v>141.41</v>
      </c>
      <c r="G187" s="12">
        <f>IFERROR(__xludf.DUMMYFUNCTION("""COMPUTED_VALUE"""),44096.66666666667)</f>
        <v>44096.66667</v>
      </c>
      <c r="H187" s="11">
        <f>IFERROR(__xludf.DUMMYFUNCTION("""COMPUTED_VALUE"""),111.81)</f>
        <v>111.81</v>
      </c>
    </row>
    <row r="188" ht="15.75" customHeight="1">
      <c r="A188" s="10">
        <f>IFERROR(__xludf.DUMMYFUNCTION("""COMPUTED_VALUE"""),44097.66666666667)</f>
        <v>44097.66667</v>
      </c>
      <c r="B188" s="11">
        <f>IFERROR(__xludf.DUMMYFUNCTION("""COMPUTED_VALUE"""),48.21)</f>
        <v>48.21</v>
      </c>
      <c r="C188" s="10">
        <f>IFERROR(__xludf.DUMMYFUNCTION("""COMPUTED_VALUE"""),44097.66666666667)</f>
        <v>44097.66667</v>
      </c>
      <c r="D188" s="11">
        <f>IFERROR(__xludf.DUMMYFUNCTION("""COMPUTED_VALUE"""),200.59)</f>
        <v>200.59</v>
      </c>
      <c r="E188" s="10">
        <f>IFERROR(__xludf.DUMMYFUNCTION("""COMPUTED_VALUE"""),44097.66666666667)</f>
        <v>44097.66667</v>
      </c>
      <c r="F188" s="11">
        <f>IFERROR(__xludf.DUMMYFUNCTION("""COMPUTED_VALUE"""),126.79)</f>
        <v>126.79</v>
      </c>
      <c r="G188" s="12">
        <f>IFERROR(__xludf.DUMMYFUNCTION("""COMPUTED_VALUE"""),44097.66666666667)</f>
        <v>44097.66667</v>
      </c>
      <c r="H188" s="11">
        <f>IFERROR(__xludf.DUMMYFUNCTION("""COMPUTED_VALUE"""),107.12)</f>
        <v>107.12</v>
      </c>
    </row>
    <row r="189" ht="15.75" customHeight="1">
      <c r="A189" s="10">
        <f>IFERROR(__xludf.DUMMYFUNCTION("""COMPUTED_VALUE"""),44098.66666666667)</f>
        <v>44098.66667</v>
      </c>
      <c r="B189" s="11">
        <f>IFERROR(__xludf.DUMMYFUNCTION("""COMPUTED_VALUE"""),48.7)</f>
        <v>48.7</v>
      </c>
      <c r="C189" s="10">
        <f>IFERROR(__xludf.DUMMYFUNCTION("""COMPUTED_VALUE"""),44098.66666666667)</f>
        <v>44098.66667</v>
      </c>
      <c r="D189" s="11">
        <f>IFERROR(__xludf.DUMMYFUNCTION("""COMPUTED_VALUE"""),203.19)</f>
        <v>203.19</v>
      </c>
      <c r="E189" s="10">
        <f>IFERROR(__xludf.DUMMYFUNCTION("""COMPUTED_VALUE"""),44098.66666666667)</f>
        <v>44098.66667</v>
      </c>
      <c r="F189" s="11">
        <f>IFERROR(__xludf.DUMMYFUNCTION("""COMPUTED_VALUE"""),129.26)</f>
        <v>129.26</v>
      </c>
      <c r="G189" s="12">
        <f>IFERROR(__xludf.DUMMYFUNCTION("""COMPUTED_VALUE"""),44098.66666666667)</f>
        <v>44098.66667</v>
      </c>
      <c r="H189" s="11">
        <f>IFERROR(__xludf.DUMMYFUNCTION("""COMPUTED_VALUE"""),108.22)</f>
        <v>108.22</v>
      </c>
    </row>
    <row r="190" ht="15.75" customHeight="1">
      <c r="A190" s="10">
        <f>IFERROR(__xludf.DUMMYFUNCTION("""COMPUTED_VALUE"""),44099.66666666667)</f>
        <v>44099.66667</v>
      </c>
      <c r="B190" s="11">
        <f>IFERROR(__xludf.DUMMYFUNCTION("""COMPUTED_VALUE"""),48.72)</f>
        <v>48.72</v>
      </c>
      <c r="C190" s="10">
        <f>IFERROR(__xludf.DUMMYFUNCTION("""COMPUTED_VALUE"""),44099.66666666667)</f>
        <v>44099.66667</v>
      </c>
      <c r="D190" s="11">
        <f>IFERROR(__xludf.DUMMYFUNCTION("""COMPUTED_VALUE"""),207.82)</f>
        <v>207.82</v>
      </c>
      <c r="E190" s="10">
        <f>IFERROR(__xludf.DUMMYFUNCTION("""COMPUTED_VALUE"""),44099.66666666667)</f>
        <v>44099.66667</v>
      </c>
      <c r="F190" s="11">
        <f>IFERROR(__xludf.DUMMYFUNCTION("""COMPUTED_VALUE"""),135.78)</f>
        <v>135.78</v>
      </c>
      <c r="G190" s="12">
        <f>IFERROR(__xludf.DUMMYFUNCTION("""COMPUTED_VALUE"""),44099.66666666667)</f>
        <v>44099.66667</v>
      </c>
      <c r="H190" s="11">
        <f>IFERROR(__xludf.DUMMYFUNCTION("""COMPUTED_VALUE"""),112.28)</f>
        <v>112.28</v>
      </c>
    </row>
    <row r="191" ht="15.75" customHeight="1">
      <c r="A191" s="10">
        <f>IFERROR(__xludf.DUMMYFUNCTION("""COMPUTED_VALUE"""),44102.66666666667)</f>
        <v>44102.66667</v>
      </c>
      <c r="B191" s="11">
        <f>IFERROR(__xludf.DUMMYFUNCTION("""COMPUTED_VALUE"""),49.28)</f>
        <v>49.28</v>
      </c>
      <c r="C191" s="10">
        <f>IFERROR(__xludf.DUMMYFUNCTION("""COMPUTED_VALUE"""),44102.66666666667)</f>
        <v>44102.66667</v>
      </c>
      <c r="D191" s="11">
        <f>IFERROR(__xludf.DUMMYFUNCTION("""COMPUTED_VALUE"""),209.44)</f>
        <v>209.44</v>
      </c>
      <c r="E191" s="10">
        <f>IFERROR(__xludf.DUMMYFUNCTION("""COMPUTED_VALUE"""),44102.66666666667)</f>
        <v>44102.66667</v>
      </c>
      <c r="F191" s="11">
        <f>IFERROR(__xludf.DUMMYFUNCTION("""COMPUTED_VALUE"""),140.4)</f>
        <v>140.4</v>
      </c>
      <c r="G191" s="12">
        <f>IFERROR(__xludf.DUMMYFUNCTION("""COMPUTED_VALUE"""),44102.66666666667)</f>
        <v>44102.66667</v>
      </c>
      <c r="H191" s="11">
        <f>IFERROR(__xludf.DUMMYFUNCTION("""COMPUTED_VALUE"""),114.96)</f>
        <v>114.96</v>
      </c>
    </row>
    <row r="192" ht="15.75" customHeight="1">
      <c r="A192" s="10">
        <f>IFERROR(__xludf.DUMMYFUNCTION("""COMPUTED_VALUE"""),44103.66666666667)</f>
        <v>44103.66667</v>
      </c>
      <c r="B192" s="11">
        <f>IFERROR(__xludf.DUMMYFUNCTION("""COMPUTED_VALUE"""),48.92)</f>
        <v>48.92</v>
      </c>
      <c r="C192" s="10">
        <f>IFERROR(__xludf.DUMMYFUNCTION("""COMPUTED_VALUE"""),44103.66666666667)</f>
        <v>44103.66667</v>
      </c>
      <c r="D192" s="11">
        <f>IFERROR(__xludf.DUMMYFUNCTION("""COMPUTED_VALUE"""),207.26)</f>
        <v>207.26</v>
      </c>
      <c r="E192" s="10">
        <f>IFERROR(__xludf.DUMMYFUNCTION("""COMPUTED_VALUE"""),44103.66666666667)</f>
        <v>44103.66667</v>
      </c>
      <c r="F192" s="11">
        <f>IFERROR(__xludf.DUMMYFUNCTION("""COMPUTED_VALUE"""),139.69)</f>
        <v>139.69</v>
      </c>
      <c r="G192" s="12">
        <f>IFERROR(__xludf.DUMMYFUNCTION("""COMPUTED_VALUE"""),44103.66666666667)</f>
        <v>44103.66667</v>
      </c>
      <c r="H192" s="11">
        <f>IFERROR(__xludf.DUMMYFUNCTION("""COMPUTED_VALUE"""),114.09)</f>
        <v>114.09</v>
      </c>
    </row>
    <row r="193" ht="15.75" customHeight="1">
      <c r="A193" s="10">
        <f>IFERROR(__xludf.DUMMYFUNCTION("""COMPUTED_VALUE"""),44104.66666666667)</f>
        <v>44104.66667</v>
      </c>
      <c r="B193" s="11">
        <f>IFERROR(__xludf.DUMMYFUNCTION("""COMPUTED_VALUE"""),49.37)</f>
        <v>49.37</v>
      </c>
      <c r="C193" s="10">
        <f>IFERROR(__xludf.DUMMYFUNCTION("""COMPUTED_VALUE"""),44104.66666666667)</f>
        <v>44104.66667</v>
      </c>
      <c r="D193" s="11">
        <f>IFERROR(__xludf.DUMMYFUNCTION("""COMPUTED_VALUE"""),210.33)</f>
        <v>210.33</v>
      </c>
      <c r="E193" s="10">
        <f>IFERROR(__xludf.DUMMYFUNCTION("""COMPUTED_VALUE"""),44104.66666666667)</f>
        <v>44104.66667</v>
      </c>
      <c r="F193" s="11">
        <f>IFERROR(__xludf.DUMMYFUNCTION("""COMPUTED_VALUE"""),143.0)</f>
        <v>143</v>
      </c>
      <c r="G193" s="12">
        <f>IFERROR(__xludf.DUMMYFUNCTION("""COMPUTED_VALUE"""),44104.66666666667)</f>
        <v>44104.66667</v>
      </c>
      <c r="H193" s="11">
        <f>IFERROR(__xludf.DUMMYFUNCTION("""COMPUTED_VALUE"""),115.81)</f>
        <v>115.81</v>
      </c>
    </row>
    <row r="194" ht="15.75" customHeight="1">
      <c r="A194" s="10">
        <f>IFERROR(__xludf.DUMMYFUNCTION("""COMPUTED_VALUE"""),44105.66666666667)</f>
        <v>44105.66667</v>
      </c>
      <c r="B194" s="11">
        <f>IFERROR(__xludf.DUMMYFUNCTION("""COMPUTED_VALUE"""),49.18)</f>
        <v>49.18</v>
      </c>
      <c r="C194" s="10">
        <f>IFERROR(__xludf.DUMMYFUNCTION("""COMPUTED_VALUE"""),44105.66666666667)</f>
        <v>44105.66667</v>
      </c>
      <c r="D194" s="11">
        <f>IFERROR(__xludf.DUMMYFUNCTION("""COMPUTED_VALUE"""),212.46)</f>
        <v>212.46</v>
      </c>
      <c r="E194" s="10">
        <f>IFERROR(__xludf.DUMMYFUNCTION("""COMPUTED_VALUE"""),44105.66666666667)</f>
        <v>44105.66667</v>
      </c>
      <c r="F194" s="11">
        <f>IFERROR(__xludf.DUMMYFUNCTION("""COMPUTED_VALUE"""),149.39)</f>
        <v>149.39</v>
      </c>
      <c r="G194" s="12">
        <f>IFERROR(__xludf.DUMMYFUNCTION("""COMPUTED_VALUE"""),44105.66666666667)</f>
        <v>44105.66667</v>
      </c>
      <c r="H194" s="11">
        <f>IFERROR(__xludf.DUMMYFUNCTION("""COMPUTED_VALUE"""),116.79)</f>
        <v>116.79</v>
      </c>
    </row>
    <row r="195" ht="15.75" customHeight="1">
      <c r="A195" s="10">
        <f>IFERROR(__xludf.DUMMYFUNCTION("""COMPUTED_VALUE"""),44106.66666666667)</f>
        <v>44106.66667</v>
      </c>
      <c r="B195" s="11">
        <f>IFERROR(__xludf.DUMMYFUNCTION("""COMPUTED_VALUE"""),49.36)</f>
        <v>49.36</v>
      </c>
      <c r="C195" s="10">
        <f>IFERROR(__xludf.DUMMYFUNCTION("""COMPUTED_VALUE"""),44106.66666666667)</f>
        <v>44106.66667</v>
      </c>
      <c r="D195" s="11">
        <f>IFERROR(__xludf.DUMMYFUNCTION("""COMPUTED_VALUE"""),206.19)</f>
        <v>206.19</v>
      </c>
      <c r="E195" s="10">
        <f>IFERROR(__xludf.DUMMYFUNCTION("""COMPUTED_VALUE"""),44106.66666666667)</f>
        <v>44106.66667</v>
      </c>
      <c r="F195" s="11">
        <f>IFERROR(__xludf.DUMMYFUNCTION("""COMPUTED_VALUE"""),138.36)</f>
        <v>138.36</v>
      </c>
      <c r="G195" s="12">
        <f>IFERROR(__xludf.DUMMYFUNCTION("""COMPUTED_VALUE"""),44106.66666666667)</f>
        <v>44106.66667</v>
      </c>
      <c r="H195" s="11">
        <f>IFERROR(__xludf.DUMMYFUNCTION("""COMPUTED_VALUE"""),113.02)</f>
        <v>113.02</v>
      </c>
    </row>
    <row r="196" ht="15.75" customHeight="1">
      <c r="A196" s="10">
        <f>IFERROR(__xludf.DUMMYFUNCTION("""COMPUTED_VALUE"""),44109.66666666667)</f>
        <v>44109.66667</v>
      </c>
      <c r="B196" s="11">
        <f>IFERROR(__xludf.DUMMYFUNCTION("""COMPUTED_VALUE"""),49.38)</f>
        <v>49.38</v>
      </c>
      <c r="C196" s="10">
        <f>IFERROR(__xludf.DUMMYFUNCTION("""COMPUTED_VALUE"""),44109.66666666667)</f>
        <v>44109.66667</v>
      </c>
      <c r="D196" s="11">
        <f>IFERROR(__xludf.DUMMYFUNCTION("""COMPUTED_VALUE"""),210.38)</f>
        <v>210.38</v>
      </c>
      <c r="E196" s="10">
        <f>IFERROR(__xludf.DUMMYFUNCTION("""COMPUTED_VALUE"""),44109.66666666667)</f>
        <v>44109.66667</v>
      </c>
      <c r="F196" s="11">
        <f>IFERROR(__xludf.DUMMYFUNCTION("""COMPUTED_VALUE"""),141.89)</f>
        <v>141.89</v>
      </c>
      <c r="G196" s="12">
        <f>IFERROR(__xludf.DUMMYFUNCTION("""COMPUTED_VALUE"""),44109.66666666667)</f>
        <v>44109.66667</v>
      </c>
      <c r="H196" s="11">
        <f>IFERROR(__xludf.DUMMYFUNCTION("""COMPUTED_VALUE"""),116.5)</f>
        <v>116.5</v>
      </c>
    </row>
    <row r="197" ht="15.75" customHeight="1">
      <c r="A197" s="10">
        <f>IFERROR(__xludf.DUMMYFUNCTION("""COMPUTED_VALUE"""),44110.66666666667)</f>
        <v>44110.66667</v>
      </c>
      <c r="B197" s="11">
        <f>IFERROR(__xludf.DUMMYFUNCTION("""COMPUTED_VALUE"""),48.94)</f>
        <v>48.94</v>
      </c>
      <c r="C197" s="10">
        <f>IFERROR(__xludf.DUMMYFUNCTION("""COMPUTED_VALUE"""),44110.66666666667)</f>
        <v>44110.66667</v>
      </c>
      <c r="D197" s="11">
        <f>IFERROR(__xludf.DUMMYFUNCTION("""COMPUTED_VALUE"""),205.91)</f>
        <v>205.91</v>
      </c>
      <c r="E197" s="10">
        <f>IFERROR(__xludf.DUMMYFUNCTION("""COMPUTED_VALUE"""),44110.66666666667)</f>
        <v>44110.66667</v>
      </c>
      <c r="F197" s="11">
        <f>IFERROR(__xludf.DUMMYFUNCTION("""COMPUTED_VALUE"""),137.99)</f>
        <v>137.99</v>
      </c>
      <c r="G197" s="12">
        <f>IFERROR(__xludf.DUMMYFUNCTION("""COMPUTED_VALUE"""),44110.66666666667)</f>
        <v>44110.66667</v>
      </c>
      <c r="H197" s="11">
        <f>IFERROR(__xludf.DUMMYFUNCTION("""COMPUTED_VALUE"""),113.16)</f>
        <v>113.16</v>
      </c>
    </row>
    <row r="198" ht="15.75" customHeight="1">
      <c r="A198" s="10">
        <f>IFERROR(__xludf.DUMMYFUNCTION("""COMPUTED_VALUE"""),44111.66666666667)</f>
        <v>44111.66667</v>
      </c>
      <c r="B198" s="11">
        <f>IFERROR(__xludf.DUMMYFUNCTION("""COMPUTED_VALUE"""),49.56)</f>
        <v>49.56</v>
      </c>
      <c r="C198" s="10">
        <f>IFERROR(__xludf.DUMMYFUNCTION("""COMPUTED_VALUE"""),44111.66666666667)</f>
        <v>44111.66667</v>
      </c>
      <c r="D198" s="11">
        <f>IFERROR(__xludf.DUMMYFUNCTION("""COMPUTED_VALUE"""),209.83)</f>
        <v>209.83</v>
      </c>
      <c r="E198" s="10">
        <f>IFERROR(__xludf.DUMMYFUNCTION("""COMPUTED_VALUE"""),44111.66666666667)</f>
        <v>44111.66667</v>
      </c>
      <c r="F198" s="11">
        <f>IFERROR(__xludf.DUMMYFUNCTION("""COMPUTED_VALUE"""),141.77)</f>
        <v>141.77</v>
      </c>
      <c r="G198" s="12">
        <f>IFERROR(__xludf.DUMMYFUNCTION("""COMPUTED_VALUE"""),44111.66666666667)</f>
        <v>44111.66667</v>
      </c>
      <c r="H198" s="11">
        <f>IFERROR(__xludf.DUMMYFUNCTION("""COMPUTED_VALUE"""),115.08)</f>
        <v>115.08</v>
      </c>
    </row>
    <row r="199" ht="15.75" customHeight="1">
      <c r="A199" s="10">
        <f>IFERROR(__xludf.DUMMYFUNCTION("""COMPUTED_VALUE"""),44112.66666666667)</f>
        <v>44112.66667</v>
      </c>
      <c r="B199" s="11">
        <f>IFERROR(__xludf.DUMMYFUNCTION("""COMPUTED_VALUE"""),50.46)</f>
        <v>50.46</v>
      </c>
      <c r="C199" s="10">
        <f>IFERROR(__xludf.DUMMYFUNCTION("""COMPUTED_VALUE"""),44112.66666666667)</f>
        <v>44112.66667</v>
      </c>
      <c r="D199" s="11">
        <f>IFERROR(__xludf.DUMMYFUNCTION("""COMPUTED_VALUE"""),210.58)</f>
        <v>210.58</v>
      </c>
      <c r="E199" s="10">
        <f>IFERROR(__xludf.DUMMYFUNCTION("""COMPUTED_VALUE"""),44112.66666666667)</f>
        <v>44112.66667</v>
      </c>
      <c r="F199" s="11">
        <f>IFERROR(__xludf.DUMMYFUNCTION("""COMPUTED_VALUE"""),141.97)</f>
        <v>141.97</v>
      </c>
      <c r="G199" s="12">
        <f>IFERROR(__xludf.DUMMYFUNCTION("""COMPUTED_VALUE"""),44112.66666666667)</f>
        <v>44112.66667</v>
      </c>
      <c r="H199" s="11">
        <f>IFERROR(__xludf.DUMMYFUNCTION("""COMPUTED_VALUE"""),114.97)</f>
        <v>114.97</v>
      </c>
    </row>
    <row r="200" ht="15.75" customHeight="1">
      <c r="A200" s="10">
        <f>IFERROR(__xludf.DUMMYFUNCTION("""COMPUTED_VALUE"""),44113.66666666667)</f>
        <v>44113.66667</v>
      </c>
      <c r="B200" s="11">
        <f>IFERROR(__xludf.DUMMYFUNCTION("""COMPUTED_VALUE"""),50.81)</f>
        <v>50.81</v>
      </c>
      <c r="C200" s="10">
        <f>IFERROR(__xludf.DUMMYFUNCTION("""COMPUTED_VALUE"""),44113.66666666667)</f>
        <v>44113.66667</v>
      </c>
      <c r="D200" s="11">
        <f>IFERROR(__xludf.DUMMYFUNCTION("""COMPUTED_VALUE"""),215.81)</f>
        <v>215.81</v>
      </c>
      <c r="E200" s="10">
        <f>IFERROR(__xludf.DUMMYFUNCTION("""COMPUTED_VALUE"""),44113.66666666667)</f>
        <v>44113.66667</v>
      </c>
      <c r="F200" s="11">
        <f>IFERROR(__xludf.DUMMYFUNCTION("""COMPUTED_VALUE"""),144.67)</f>
        <v>144.67</v>
      </c>
      <c r="G200" s="12">
        <f>IFERROR(__xludf.DUMMYFUNCTION("""COMPUTED_VALUE"""),44113.66666666667)</f>
        <v>44113.66667</v>
      </c>
      <c r="H200" s="11">
        <f>IFERROR(__xludf.DUMMYFUNCTION("""COMPUTED_VALUE"""),116.97)</f>
        <v>116.97</v>
      </c>
    </row>
    <row r="201" ht="15.75" customHeight="1">
      <c r="A201" s="10">
        <f>IFERROR(__xludf.DUMMYFUNCTION("""COMPUTED_VALUE"""),44116.66666666667)</f>
        <v>44116.66667</v>
      </c>
      <c r="B201" s="11">
        <f>IFERROR(__xludf.DUMMYFUNCTION("""COMPUTED_VALUE"""),51.09)</f>
        <v>51.09</v>
      </c>
      <c r="C201" s="10">
        <f>IFERROR(__xludf.DUMMYFUNCTION("""COMPUTED_VALUE"""),44116.66666666667)</f>
        <v>44116.66667</v>
      </c>
      <c r="D201" s="11">
        <f>IFERROR(__xludf.DUMMYFUNCTION("""COMPUTED_VALUE"""),221.4)</f>
        <v>221.4</v>
      </c>
      <c r="E201" s="10">
        <f>IFERROR(__xludf.DUMMYFUNCTION("""COMPUTED_VALUE"""),44116.66666666667)</f>
        <v>44116.66667</v>
      </c>
      <c r="F201" s="11">
        <f>IFERROR(__xludf.DUMMYFUNCTION("""COMPUTED_VALUE"""),147.43)</f>
        <v>147.43</v>
      </c>
      <c r="G201" s="12">
        <f>IFERROR(__xludf.DUMMYFUNCTION("""COMPUTED_VALUE"""),44116.66666666667)</f>
        <v>44116.66667</v>
      </c>
      <c r="H201" s="11">
        <f>IFERROR(__xludf.DUMMYFUNCTION("""COMPUTED_VALUE"""),124.4)</f>
        <v>124.4</v>
      </c>
    </row>
    <row r="202" ht="15.75" customHeight="1">
      <c r="A202" s="10">
        <f>IFERROR(__xludf.DUMMYFUNCTION("""COMPUTED_VALUE"""),44117.66666666667)</f>
        <v>44117.66667</v>
      </c>
      <c r="B202" s="11">
        <f>IFERROR(__xludf.DUMMYFUNCTION("""COMPUTED_VALUE"""),50.22)</f>
        <v>50.22</v>
      </c>
      <c r="C202" s="10">
        <f>IFERROR(__xludf.DUMMYFUNCTION("""COMPUTED_VALUE"""),44117.66666666667)</f>
        <v>44117.66667</v>
      </c>
      <c r="D202" s="11">
        <f>IFERROR(__xludf.DUMMYFUNCTION("""COMPUTED_VALUE"""),222.86)</f>
        <v>222.86</v>
      </c>
      <c r="E202" s="10">
        <f>IFERROR(__xludf.DUMMYFUNCTION("""COMPUTED_VALUE"""),44117.66666666667)</f>
        <v>44117.66667</v>
      </c>
      <c r="F202" s="11">
        <f>IFERROR(__xludf.DUMMYFUNCTION("""COMPUTED_VALUE"""),148.88)</f>
        <v>148.88</v>
      </c>
      <c r="G202" s="12">
        <f>IFERROR(__xludf.DUMMYFUNCTION("""COMPUTED_VALUE"""),44117.66666666667)</f>
        <v>44117.66667</v>
      </c>
      <c r="H202" s="11">
        <f>IFERROR(__xludf.DUMMYFUNCTION("""COMPUTED_VALUE"""),121.1)</f>
        <v>121.1</v>
      </c>
    </row>
    <row r="203" ht="15.75" customHeight="1">
      <c r="A203" s="10">
        <f>IFERROR(__xludf.DUMMYFUNCTION("""COMPUTED_VALUE"""),44118.66666666667)</f>
        <v>44118.66667</v>
      </c>
      <c r="B203" s="11">
        <f>IFERROR(__xludf.DUMMYFUNCTION("""COMPUTED_VALUE"""),50.12)</f>
        <v>50.12</v>
      </c>
      <c r="C203" s="10">
        <f>IFERROR(__xludf.DUMMYFUNCTION("""COMPUTED_VALUE"""),44118.66666666667)</f>
        <v>44118.66667</v>
      </c>
      <c r="D203" s="11">
        <f>IFERROR(__xludf.DUMMYFUNCTION("""COMPUTED_VALUE"""),220.86)</f>
        <v>220.86</v>
      </c>
      <c r="E203" s="10">
        <f>IFERROR(__xludf.DUMMYFUNCTION("""COMPUTED_VALUE"""),44118.66666666667)</f>
        <v>44118.66667</v>
      </c>
      <c r="F203" s="11">
        <f>IFERROR(__xludf.DUMMYFUNCTION("""COMPUTED_VALUE"""),153.77)</f>
        <v>153.77</v>
      </c>
      <c r="G203" s="12">
        <f>IFERROR(__xludf.DUMMYFUNCTION("""COMPUTED_VALUE"""),44118.66666666667)</f>
        <v>44118.66667</v>
      </c>
      <c r="H203" s="11">
        <f>IFERROR(__xludf.DUMMYFUNCTION("""COMPUTED_VALUE"""),121.19)</f>
        <v>121.19</v>
      </c>
    </row>
    <row r="204" ht="15.75" customHeight="1">
      <c r="A204" s="10">
        <f>IFERROR(__xludf.DUMMYFUNCTION("""COMPUTED_VALUE"""),44119.66666666667)</f>
        <v>44119.66667</v>
      </c>
      <c r="B204" s="11">
        <f>IFERROR(__xludf.DUMMYFUNCTION("""COMPUTED_VALUE"""),49.99)</f>
        <v>49.99</v>
      </c>
      <c r="C204" s="10">
        <f>IFERROR(__xludf.DUMMYFUNCTION("""COMPUTED_VALUE"""),44119.66666666667)</f>
        <v>44119.66667</v>
      </c>
      <c r="D204" s="11">
        <f>IFERROR(__xludf.DUMMYFUNCTION("""COMPUTED_VALUE"""),219.66)</f>
        <v>219.66</v>
      </c>
      <c r="E204" s="10">
        <f>IFERROR(__xludf.DUMMYFUNCTION("""COMPUTED_VALUE"""),44119.66666666667)</f>
        <v>44119.66667</v>
      </c>
      <c r="F204" s="11">
        <f>IFERROR(__xludf.DUMMYFUNCTION("""COMPUTED_VALUE"""),149.63)</f>
        <v>149.63</v>
      </c>
      <c r="G204" s="12">
        <f>IFERROR(__xludf.DUMMYFUNCTION("""COMPUTED_VALUE"""),44119.66666666667)</f>
        <v>44119.66667</v>
      </c>
      <c r="H204" s="11">
        <f>IFERROR(__xludf.DUMMYFUNCTION("""COMPUTED_VALUE"""),120.71)</f>
        <v>120.71</v>
      </c>
    </row>
    <row r="205" ht="15.75" customHeight="1">
      <c r="A205" s="10">
        <f>IFERROR(__xludf.DUMMYFUNCTION("""COMPUTED_VALUE"""),44120.66666666667)</f>
        <v>44120.66667</v>
      </c>
      <c r="B205" s="11">
        <f>IFERROR(__xludf.DUMMYFUNCTION("""COMPUTED_VALUE"""),50.03)</f>
        <v>50.03</v>
      </c>
      <c r="C205" s="10">
        <f>IFERROR(__xludf.DUMMYFUNCTION("""COMPUTED_VALUE"""),44120.66666666667)</f>
        <v>44120.66667</v>
      </c>
      <c r="D205" s="11">
        <f>IFERROR(__xludf.DUMMYFUNCTION("""COMPUTED_VALUE"""),219.66)</f>
        <v>219.66</v>
      </c>
      <c r="E205" s="10">
        <f>IFERROR(__xludf.DUMMYFUNCTION("""COMPUTED_VALUE"""),44120.66666666667)</f>
        <v>44120.66667</v>
      </c>
      <c r="F205" s="11">
        <f>IFERROR(__xludf.DUMMYFUNCTION("""COMPUTED_VALUE"""),146.56)</f>
        <v>146.56</v>
      </c>
      <c r="G205" s="12">
        <f>IFERROR(__xludf.DUMMYFUNCTION("""COMPUTED_VALUE"""),44120.66666666667)</f>
        <v>44120.66667</v>
      </c>
      <c r="H205" s="11">
        <f>IFERROR(__xludf.DUMMYFUNCTION("""COMPUTED_VALUE"""),119.02)</f>
        <v>119.02</v>
      </c>
    </row>
    <row r="206" ht="15.75" customHeight="1">
      <c r="A206" s="10">
        <f>IFERROR(__xludf.DUMMYFUNCTION("""COMPUTED_VALUE"""),44123.66666666667)</f>
        <v>44123.66667</v>
      </c>
      <c r="B206" s="11">
        <f>IFERROR(__xludf.DUMMYFUNCTION("""COMPUTED_VALUE"""),49.62)</f>
        <v>49.62</v>
      </c>
      <c r="C206" s="10">
        <f>IFERROR(__xludf.DUMMYFUNCTION("""COMPUTED_VALUE"""),44123.66666666667)</f>
        <v>44123.66667</v>
      </c>
      <c r="D206" s="11">
        <f>IFERROR(__xludf.DUMMYFUNCTION("""COMPUTED_VALUE"""),214.22)</f>
        <v>214.22</v>
      </c>
      <c r="E206" s="10">
        <f>IFERROR(__xludf.DUMMYFUNCTION("""COMPUTED_VALUE"""),44123.66666666667)</f>
        <v>44123.66667</v>
      </c>
      <c r="F206" s="11">
        <f>IFERROR(__xludf.DUMMYFUNCTION("""COMPUTED_VALUE"""),143.61)</f>
        <v>143.61</v>
      </c>
      <c r="G206" s="12">
        <f>IFERROR(__xludf.DUMMYFUNCTION("""COMPUTED_VALUE"""),44123.66666666667)</f>
        <v>44123.66667</v>
      </c>
      <c r="H206" s="11">
        <f>IFERROR(__xludf.DUMMYFUNCTION("""COMPUTED_VALUE"""),115.98)</f>
        <v>115.98</v>
      </c>
    </row>
    <row r="207" ht="15.75" customHeight="1">
      <c r="A207" s="10">
        <f>IFERROR(__xludf.DUMMYFUNCTION("""COMPUTED_VALUE"""),44124.66666666667)</f>
        <v>44124.66667</v>
      </c>
      <c r="B207" s="11">
        <f>IFERROR(__xludf.DUMMYFUNCTION("""COMPUTED_VALUE"""),50.25)</f>
        <v>50.25</v>
      </c>
      <c r="C207" s="10">
        <f>IFERROR(__xludf.DUMMYFUNCTION("""COMPUTED_VALUE"""),44124.66666666667)</f>
        <v>44124.66667</v>
      </c>
      <c r="D207" s="11">
        <f>IFERROR(__xludf.DUMMYFUNCTION("""COMPUTED_VALUE"""),214.65)</f>
        <v>214.65</v>
      </c>
      <c r="E207" s="10">
        <f>IFERROR(__xludf.DUMMYFUNCTION("""COMPUTED_VALUE"""),44124.66666666667)</f>
        <v>44124.66667</v>
      </c>
      <c r="F207" s="11">
        <f>IFERROR(__xludf.DUMMYFUNCTION("""COMPUTED_VALUE"""),140.65)</f>
        <v>140.65</v>
      </c>
      <c r="G207" s="12">
        <f>IFERROR(__xludf.DUMMYFUNCTION("""COMPUTED_VALUE"""),44124.66666666667)</f>
        <v>44124.66667</v>
      </c>
      <c r="H207" s="11">
        <f>IFERROR(__xludf.DUMMYFUNCTION("""COMPUTED_VALUE"""),117.51)</f>
        <v>117.51</v>
      </c>
    </row>
    <row r="208" ht="15.75" customHeight="1">
      <c r="A208" s="10">
        <f>IFERROR(__xludf.DUMMYFUNCTION("""COMPUTED_VALUE"""),44125.66666666667)</f>
        <v>44125.66667</v>
      </c>
      <c r="B208" s="11">
        <f>IFERROR(__xludf.DUMMYFUNCTION("""COMPUTED_VALUE"""),49.99)</f>
        <v>49.99</v>
      </c>
      <c r="C208" s="10">
        <f>IFERROR(__xludf.DUMMYFUNCTION("""COMPUTED_VALUE"""),44125.66666666667)</f>
        <v>44125.66667</v>
      </c>
      <c r="D208" s="11">
        <f>IFERROR(__xludf.DUMMYFUNCTION("""COMPUTED_VALUE"""),214.8)</f>
        <v>214.8</v>
      </c>
      <c r="E208" s="10">
        <f>IFERROR(__xludf.DUMMYFUNCTION("""COMPUTED_VALUE"""),44125.66666666667)</f>
        <v>44125.66667</v>
      </c>
      <c r="F208" s="11">
        <f>IFERROR(__xludf.DUMMYFUNCTION("""COMPUTED_VALUE"""),140.88)</f>
        <v>140.88</v>
      </c>
      <c r="G208" s="12">
        <f>IFERROR(__xludf.DUMMYFUNCTION("""COMPUTED_VALUE"""),44125.66666666667)</f>
        <v>44125.66667</v>
      </c>
      <c r="H208" s="11">
        <f>IFERROR(__xludf.DUMMYFUNCTION("""COMPUTED_VALUE"""),116.87)</f>
        <v>116.87</v>
      </c>
    </row>
    <row r="209" ht="15.75" customHeight="1">
      <c r="A209" s="10">
        <f>IFERROR(__xludf.DUMMYFUNCTION("""COMPUTED_VALUE"""),44126.66666666667)</f>
        <v>44126.66667</v>
      </c>
      <c r="B209" s="11">
        <f>IFERROR(__xludf.DUMMYFUNCTION("""COMPUTED_VALUE"""),50.68)</f>
        <v>50.68</v>
      </c>
      <c r="C209" s="10">
        <f>IFERROR(__xludf.DUMMYFUNCTION("""COMPUTED_VALUE"""),44126.66666666667)</f>
        <v>44126.66667</v>
      </c>
      <c r="D209" s="11">
        <f>IFERROR(__xludf.DUMMYFUNCTION("""COMPUTED_VALUE"""),214.89)</f>
        <v>214.89</v>
      </c>
      <c r="E209" s="10">
        <f>IFERROR(__xludf.DUMMYFUNCTION("""COMPUTED_VALUE"""),44126.66666666667)</f>
        <v>44126.66667</v>
      </c>
      <c r="F209" s="11">
        <f>IFERROR(__xludf.DUMMYFUNCTION("""COMPUTED_VALUE"""),141.93)</f>
        <v>141.93</v>
      </c>
      <c r="G209" s="12">
        <f>IFERROR(__xludf.DUMMYFUNCTION("""COMPUTED_VALUE"""),44126.66666666667)</f>
        <v>44126.66667</v>
      </c>
      <c r="H209" s="11">
        <f>IFERROR(__xludf.DUMMYFUNCTION("""COMPUTED_VALUE"""),115.75)</f>
        <v>115.75</v>
      </c>
    </row>
    <row r="210" ht="15.75" customHeight="1">
      <c r="A210" s="10">
        <f>IFERROR(__xludf.DUMMYFUNCTION("""COMPUTED_VALUE"""),44127.66666666667)</f>
        <v>44127.66667</v>
      </c>
      <c r="B210" s="11">
        <f>IFERROR(__xludf.DUMMYFUNCTION("""COMPUTED_VALUE"""),50.52)</f>
        <v>50.52</v>
      </c>
      <c r="C210" s="10">
        <f>IFERROR(__xludf.DUMMYFUNCTION("""COMPUTED_VALUE"""),44127.66666666667)</f>
        <v>44127.66667</v>
      </c>
      <c r="D210" s="11">
        <f>IFERROR(__xludf.DUMMYFUNCTION("""COMPUTED_VALUE"""),216.23)</f>
        <v>216.23</v>
      </c>
      <c r="E210" s="10">
        <f>IFERROR(__xludf.DUMMYFUNCTION("""COMPUTED_VALUE"""),44127.66666666667)</f>
        <v>44127.66667</v>
      </c>
      <c r="F210" s="11">
        <f>IFERROR(__xludf.DUMMYFUNCTION("""COMPUTED_VALUE"""),140.21)</f>
        <v>140.21</v>
      </c>
      <c r="G210" s="12">
        <f>IFERROR(__xludf.DUMMYFUNCTION("""COMPUTED_VALUE"""),44127.66666666667)</f>
        <v>44127.66667</v>
      </c>
      <c r="H210" s="11">
        <f>IFERROR(__xludf.DUMMYFUNCTION("""COMPUTED_VALUE"""),115.04)</f>
        <v>115.04</v>
      </c>
    </row>
    <row r="211" ht="15.75" customHeight="1">
      <c r="A211" s="10">
        <f>IFERROR(__xludf.DUMMYFUNCTION("""COMPUTED_VALUE"""),44130.66666666667)</f>
        <v>44130.66667</v>
      </c>
      <c r="B211" s="11">
        <f>IFERROR(__xludf.DUMMYFUNCTION("""COMPUTED_VALUE"""),49.8)</f>
        <v>49.8</v>
      </c>
      <c r="C211" s="10">
        <f>IFERROR(__xludf.DUMMYFUNCTION("""COMPUTED_VALUE"""),44130.66666666667)</f>
        <v>44130.66667</v>
      </c>
      <c r="D211" s="11">
        <f>IFERROR(__xludf.DUMMYFUNCTION("""COMPUTED_VALUE"""),210.08)</f>
        <v>210.08</v>
      </c>
      <c r="E211" s="10">
        <f>IFERROR(__xludf.DUMMYFUNCTION("""COMPUTED_VALUE"""),44130.66666666667)</f>
        <v>44130.66667</v>
      </c>
      <c r="F211" s="11">
        <f>IFERROR(__xludf.DUMMYFUNCTION("""COMPUTED_VALUE"""),140.09)</f>
        <v>140.09</v>
      </c>
      <c r="G211" s="12">
        <f>IFERROR(__xludf.DUMMYFUNCTION("""COMPUTED_VALUE"""),44130.66666666667)</f>
        <v>44130.66667</v>
      </c>
      <c r="H211" s="11">
        <f>IFERROR(__xludf.DUMMYFUNCTION("""COMPUTED_VALUE"""),115.05)</f>
        <v>115.05</v>
      </c>
    </row>
    <row r="212" ht="15.75" customHeight="1">
      <c r="A212" s="10">
        <f>IFERROR(__xludf.DUMMYFUNCTION("""COMPUTED_VALUE"""),44131.66666666667)</f>
        <v>44131.66667</v>
      </c>
      <c r="B212" s="11">
        <f>IFERROR(__xludf.DUMMYFUNCTION("""COMPUTED_VALUE"""),49.9)</f>
        <v>49.9</v>
      </c>
      <c r="C212" s="10">
        <f>IFERROR(__xludf.DUMMYFUNCTION("""COMPUTED_VALUE"""),44131.66666666667)</f>
        <v>44131.66667</v>
      </c>
      <c r="D212" s="11">
        <f>IFERROR(__xludf.DUMMYFUNCTION("""COMPUTED_VALUE"""),213.25)</f>
        <v>213.25</v>
      </c>
      <c r="E212" s="10">
        <f>IFERROR(__xludf.DUMMYFUNCTION("""COMPUTED_VALUE"""),44131.66666666667)</f>
        <v>44131.66667</v>
      </c>
      <c r="F212" s="11">
        <f>IFERROR(__xludf.DUMMYFUNCTION("""COMPUTED_VALUE"""),141.56)</f>
        <v>141.56</v>
      </c>
      <c r="G212" s="12">
        <f>IFERROR(__xludf.DUMMYFUNCTION("""COMPUTED_VALUE"""),44131.66666666667)</f>
        <v>44131.66667</v>
      </c>
      <c r="H212" s="11">
        <f>IFERROR(__xludf.DUMMYFUNCTION("""COMPUTED_VALUE"""),116.6)</f>
        <v>116.6</v>
      </c>
    </row>
    <row r="213" ht="15.75" customHeight="1">
      <c r="A213" s="10">
        <f>IFERROR(__xludf.DUMMYFUNCTION("""COMPUTED_VALUE"""),44132.66666666667)</f>
        <v>44132.66667</v>
      </c>
      <c r="B213" s="11">
        <f>IFERROR(__xludf.DUMMYFUNCTION("""COMPUTED_VALUE"""),47.96)</f>
        <v>47.96</v>
      </c>
      <c r="C213" s="10">
        <f>IFERROR(__xludf.DUMMYFUNCTION("""COMPUTED_VALUE"""),44132.66666666667)</f>
        <v>44132.66667</v>
      </c>
      <c r="D213" s="11">
        <f>IFERROR(__xludf.DUMMYFUNCTION("""COMPUTED_VALUE"""),202.68)</f>
        <v>202.68</v>
      </c>
      <c r="E213" s="10">
        <f>IFERROR(__xludf.DUMMYFUNCTION("""COMPUTED_VALUE"""),44132.66666666667)</f>
        <v>44132.66667</v>
      </c>
      <c r="F213" s="11">
        <f>IFERROR(__xludf.DUMMYFUNCTION("""COMPUTED_VALUE"""),135.34)</f>
        <v>135.34</v>
      </c>
      <c r="G213" s="12">
        <f>IFERROR(__xludf.DUMMYFUNCTION("""COMPUTED_VALUE"""),44132.66666666667)</f>
        <v>44132.66667</v>
      </c>
      <c r="H213" s="11">
        <f>IFERROR(__xludf.DUMMYFUNCTION("""COMPUTED_VALUE"""),111.2)</f>
        <v>111.2</v>
      </c>
    </row>
    <row r="214" ht="15.75" customHeight="1">
      <c r="A214" s="10">
        <f>IFERROR(__xludf.DUMMYFUNCTION("""COMPUTED_VALUE"""),44133.66666666667)</f>
        <v>44133.66667</v>
      </c>
      <c r="B214" s="11">
        <f>IFERROR(__xludf.DUMMYFUNCTION("""COMPUTED_VALUE"""),48.02)</f>
        <v>48.02</v>
      </c>
      <c r="C214" s="10">
        <f>IFERROR(__xludf.DUMMYFUNCTION("""COMPUTED_VALUE"""),44133.66666666667)</f>
        <v>44133.66667</v>
      </c>
      <c r="D214" s="11">
        <f>IFERROR(__xludf.DUMMYFUNCTION("""COMPUTED_VALUE"""),204.72)</f>
        <v>204.72</v>
      </c>
      <c r="E214" s="10">
        <f>IFERROR(__xludf.DUMMYFUNCTION("""COMPUTED_VALUE"""),44133.66666666667)</f>
        <v>44133.66667</v>
      </c>
      <c r="F214" s="11">
        <f>IFERROR(__xludf.DUMMYFUNCTION("""COMPUTED_VALUE"""),136.94)</f>
        <v>136.94</v>
      </c>
      <c r="G214" s="12">
        <f>IFERROR(__xludf.DUMMYFUNCTION("""COMPUTED_VALUE"""),44133.66666666667)</f>
        <v>44133.66667</v>
      </c>
      <c r="H214" s="11">
        <f>IFERROR(__xludf.DUMMYFUNCTION("""COMPUTED_VALUE"""),115.32)</f>
        <v>115.32</v>
      </c>
    </row>
    <row r="215" ht="15.75" customHeight="1">
      <c r="A215" s="10">
        <f>IFERROR(__xludf.DUMMYFUNCTION("""COMPUTED_VALUE"""),44134.66666666667)</f>
        <v>44134.66667</v>
      </c>
      <c r="B215" s="11">
        <f>IFERROR(__xludf.DUMMYFUNCTION("""COMPUTED_VALUE"""),48.06)</f>
        <v>48.06</v>
      </c>
      <c r="C215" s="10">
        <f>IFERROR(__xludf.DUMMYFUNCTION("""COMPUTED_VALUE"""),44134.66666666667)</f>
        <v>44134.66667</v>
      </c>
      <c r="D215" s="11">
        <f>IFERROR(__xludf.DUMMYFUNCTION("""COMPUTED_VALUE"""),202.47)</f>
        <v>202.47</v>
      </c>
      <c r="E215" s="10">
        <f>IFERROR(__xludf.DUMMYFUNCTION("""COMPUTED_VALUE"""),44134.66666666667)</f>
        <v>44134.66667</v>
      </c>
      <c r="F215" s="11">
        <f>IFERROR(__xludf.DUMMYFUNCTION("""COMPUTED_VALUE"""),129.35)</f>
        <v>129.35</v>
      </c>
      <c r="G215" s="12">
        <f>IFERROR(__xludf.DUMMYFUNCTION("""COMPUTED_VALUE"""),44134.66666666667)</f>
        <v>44134.66667</v>
      </c>
      <c r="H215" s="11">
        <f>IFERROR(__xludf.DUMMYFUNCTION("""COMPUTED_VALUE"""),108.86)</f>
        <v>108.86</v>
      </c>
    </row>
    <row r="216" ht="15.75" customHeight="1">
      <c r="A216" s="10">
        <f>IFERROR(__xludf.DUMMYFUNCTION("""COMPUTED_VALUE"""),44137.66666666667)</f>
        <v>44137.66667</v>
      </c>
      <c r="B216" s="11">
        <f>IFERROR(__xludf.DUMMYFUNCTION("""COMPUTED_VALUE"""),48.62)</f>
        <v>48.62</v>
      </c>
      <c r="C216" s="10">
        <f>IFERROR(__xludf.DUMMYFUNCTION("""COMPUTED_VALUE"""),44137.66666666667)</f>
        <v>44137.66667</v>
      </c>
      <c r="D216" s="11">
        <f>IFERROR(__xludf.DUMMYFUNCTION("""COMPUTED_VALUE"""),202.33)</f>
        <v>202.33</v>
      </c>
      <c r="E216" s="10">
        <f>IFERROR(__xludf.DUMMYFUNCTION("""COMPUTED_VALUE"""),44137.66666666667)</f>
        <v>44137.66667</v>
      </c>
      <c r="F216" s="11">
        <f>IFERROR(__xludf.DUMMYFUNCTION("""COMPUTED_VALUE"""),133.5)</f>
        <v>133.5</v>
      </c>
      <c r="G216" s="12">
        <f>IFERROR(__xludf.DUMMYFUNCTION("""COMPUTED_VALUE"""),44137.66666666667)</f>
        <v>44137.66667</v>
      </c>
      <c r="H216" s="11">
        <f>IFERROR(__xludf.DUMMYFUNCTION("""COMPUTED_VALUE"""),108.77)</f>
        <v>108.77</v>
      </c>
    </row>
    <row r="217" ht="15.75" customHeight="1">
      <c r="A217" s="10">
        <f>IFERROR(__xludf.DUMMYFUNCTION("""COMPUTED_VALUE"""),44138.66666666667)</f>
        <v>44138.66667</v>
      </c>
      <c r="B217" s="11">
        <f>IFERROR(__xludf.DUMMYFUNCTION("""COMPUTED_VALUE"""),49.35)</f>
        <v>49.35</v>
      </c>
      <c r="C217" s="10">
        <f>IFERROR(__xludf.DUMMYFUNCTION("""COMPUTED_VALUE"""),44138.66666666667)</f>
        <v>44138.66667</v>
      </c>
      <c r="D217" s="11">
        <f>IFERROR(__xludf.DUMMYFUNCTION("""COMPUTED_VALUE"""),206.43)</f>
        <v>206.43</v>
      </c>
      <c r="E217" s="10">
        <f>IFERROR(__xludf.DUMMYFUNCTION("""COMPUTED_VALUE"""),44138.66666666667)</f>
        <v>44138.66667</v>
      </c>
      <c r="F217" s="11">
        <f>IFERROR(__xludf.DUMMYFUNCTION("""COMPUTED_VALUE"""),141.3)</f>
        <v>141.3</v>
      </c>
      <c r="G217" s="12">
        <f>IFERROR(__xludf.DUMMYFUNCTION("""COMPUTED_VALUE"""),44138.66666666667)</f>
        <v>44138.66667</v>
      </c>
      <c r="H217" s="11">
        <f>IFERROR(__xludf.DUMMYFUNCTION("""COMPUTED_VALUE"""),110.44)</f>
        <v>110.44</v>
      </c>
    </row>
    <row r="218" ht="15.75" customHeight="1">
      <c r="A218" s="10">
        <f>IFERROR(__xludf.DUMMYFUNCTION("""COMPUTED_VALUE"""),44139.66666666667)</f>
        <v>44139.66667</v>
      </c>
      <c r="B218" s="11">
        <f>IFERROR(__xludf.DUMMYFUNCTION("""COMPUTED_VALUE"""),49.17)</f>
        <v>49.17</v>
      </c>
      <c r="C218" s="10">
        <f>IFERROR(__xludf.DUMMYFUNCTION("""COMPUTED_VALUE"""),44139.66666666667)</f>
        <v>44139.66667</v>
      </c>
      <c r="D218" s="11">
        <f>IFERROR(__xludf.DUMMYFUNCTION("""COMPUTED_VALUE"""),216.39)</f>
        <v>216.39</v>
      </c>
      <c r="E218" s="10">
        <f>IFERROR(__xludf.DUMMYFUNCTION("""COMPUTED_VALUE"""),44139.66666666667)</f>
        <v>44139.66667</v>
      </c>
      <c r="F218" s="11">
        <f>IFERROR(__xludf.DUMMYFUNCTION("""COMPUTED_VALUE"""),140.33)</f>
        <v>140.33</v>
      </c>
      <c r="G218" s="12">
        <f>IFERROR(__xludf.DUMMYFUNCTION("""COMPUTED_VALUE"""),44139.66666666667)</f>
        <v>44139.66667</v>
      </c>
      <c r="H218" s="11">
        <f>IFERROR(__xludf.DUMMYFUNCTION("""COMPUTED_VALUE"""),114.95)</f>
        <v>114.95</v>
      </c>
    </row>
    <row r="219" ht="15.75" customHeight="1">
      <c r="A219" s="10">
        <f>IFERROR(__xludf.DUMMYFUNCTION("""COMPUTED_VALUE"""),44140.66666666667)</f>
        <v>44140.66667</v>
      </c>
      <c r="B219" s="11">
        <f>IFERROR(__xludf.DUMMYFUNCTION("""COMPUTED_VALUE"""),49.44)</f>
        <v>49.44</v>
      </c>
      <c r="C219" s="10">
        <f>IFERROR(__xludf.DUMMYFUNCTION("""COMPUTED_VALUE"""),44140.66666666667)</f>
        <v>44140.66667</v>
      </c>
      <c r="D219" s="11">
        <f>IFERROR(__xludf.DUMMYFUNCTION("""COMPUTED_VALUE"""),223.29)</f>
        <v>223.29</v>
      </c>
      <c r="E219" s="10">
        <f>IFERROR(__xludf.DUMMYFUNCTION("""COMPUTED_VALUE"""),44140.66666666667)</f>
        <v>44140.66667</v>
      </c>
      <c r="F219" s="11">
        <f>IFERROR(__xludf.DUMMYFUNCTION("""COMPUTED_VALUE"""),146.03)</f>
        <v>146.03</v>
      </c>
      <c r="G219" s="12">
        <f>IFERROR(__xludf.DUMMYFUNCTION("""COMPUTED_VALUE"""),44140.66666666667)</f>
        <v>44140.66667</v>
      </c>
      <c r="H219" s="11">
        <f>IFERROR(__xludf.DUMMYFUNCTION("""COMPUTED_VALUE"""),119.03)</f>
        <v>119.03</v>
      </c>
    </row>
    <row r="220" ht="15.75" customHeight="1">
      <c r="A220" s="10">
        <f>IFERROR(__xludf.DUMMYFUNCTION("""COMPUTED_VALUE"""),44141.66666666667)</f>
        <v>44141.66667</v>
      </c>
      <c r="B220" s="11">
        <f>IFERROR(__xludf.DUMMYFUNCTION("""COMPUTED_VALUE"""),49.45)</f>
        <v>49.45</v>
      </c>
      <c r="C220" s="10">
        <f>IFERROR(__xludf.DUMMYFUNCTION("""COMPUTED_VALUE"""),44141.66666666667)</f>
        <v>44141.66667</v>
      </c>
      <c r="D220" s="11">
        <f>IFERROR(__xludf.DUMMYFUNCTION("""COMPUTED_VALUE"""),223.72)</f>
        <v>223.72</v>
      </c>
      <c r="E220" s="10">
        <f>IFERROR(__xludf.DUMMYFUNCTION("""COMPUTED_VALUE"""),44141.66666666667)</f>
        <v>44141.66667</v>
      </c>
      <c r="F220" s="11">
        <f>IFERROR(__xludf.DUMMYFUNCTION("""COMPUTED_VALUE"""),143.32)</f>
        <v>143.32</v>
      </c>
      <c r="G220" s="12">
        <f>IFERROR(__xludf.DUMMYFUNCTION("""COMPUTED_VALUE"""),44141.66666666667)</f>
        <v>44141.66667</v>
      </c>
      <c r="H220" s="11">
        <f>IFERROR(__xludf.DUMMYFUNCTION("""COMPUTED_VALUE"""),118.69)</f>
        <v>118.69</v>
      </c>
    </row>
    <row r="221" ht="15.75" customHeight="1">
      <c r="A221" s="12">
        <f>IFERROR(__xludf.DUMMYFUNCTION("""COMPUTED_VALUE"""),44144.66666666667)</f>
        <v>44144.66667</v>
      </c>
      <c r="B221" s="11">
        <f>IFERROR(__xludf.DUMMYFUNCTION("""COMPUTED_VALUE"""),52.57)</f>
        <v>52.57</v>
      </c>
      <c r="C221" s="12">
        <f>IFERROR(__xludf.DUMMYFUNCTION("""COMPUTED_VALUE"""),44144.66666666667)</f>
        <v>44144.66667</v>
      </c>
      <c r="D221" s="11">
        <f>IFERROR(__xludf.DUMMYFUNCTION("""COMPUTED_VALUE"""),218.39)</f>
        <v>218.39</v>
      </c>
      <c r="E221" s="12">
        <f>IFERROR(__xludf.DUMMYFUNCTION("""COMPUTED_VALUE"""),44144.66666666667)</f>
        <v>44144.66667</v>
      </c>
      <c r="F221" s="11">
        <f>IFERROR(__xludf.DUMMYFUNCTION("""COMPUTED_VALUE"""),140.42)</f>
        <v>140.42</v>
      </c>
      <c r="G221" s="12">
        <f>IFERROR(__xludf.DUMMYFUNCTION("""COMPUTED_VALUE"""),44144.66666666667)</f>
        <v>44144.66667</v>
      </c>
      <c r="H221" s="11">
        <f>IFERROR(__xludf.DUMMYFUNCTION("""COMPUTED_VALUE"""),116.32)</f>
        <v>116.32</v>
      </c>
    </row>
    <row r="222" ht="15.75" customHeight="1">
      <c r="A222" s="12">
        <f>IFERROR(__xludf.DUMMYFUNCTION("""COMPUTED_VALUE"""),44145.66666666667)</f>
        <v>44145.66667</v>
      </c>
      <c r="B222" s="11">
        <f>IFERROR(__xludf.DUMMYFUNCTION("""COMPUTED_VALUE"""),53.98)</f>
        <v>53.98</v>
      </c>
      <c r="C222" s="12">
        <f>IFERROR(__xludf.DUMMYFUNCTION("""COMPUTED_VALUE"""),44145.66666666667)</f>
        <v>44145.66667</v>
      </c>
      <c r="D222" s="11">
        <f>IFERROR(__xludf.DUMMYFUNCTION("""COMPUTED_VALUE"""),211.01)</f>
        <v>211.01</v>
      </c>
      <c r="E222" s="12">
        <f>IFERROR(__xludf.DUMMYFUNCTION("""COMPUTED_VALUE"""),44145.66666666667)</f>
        <v>44145.66667</v>
      </c>
      <c r="F222" s="11">
        <f>IFERROR(__xludf.DUMMYFUNCTION("""COMPUTED_VALUE"""),136.79)</f>
        <v>136.79</v>
      </c>
      <c r="G222" s="12">
        <f>IFERROR(__xludf.DUMMYFUNCTION("""COMPUTED_VALUE"""),44145.66666666667)</f>
        <v>44145.66667</v>
      </c>
      <c r="H222" s="11">
        <f>IFERROR(__xludf.DUMMYFUNCTION("""COMPUTED_VALUE"""),115.97)</f>
        <v>115.97</v>
      </c>
    </row>
    <row r="223" ht="15.75" customHeight="1">
      <c r="A223" s="12">
        <f>IFERROR(__xludf.DUMMYFUNCTION("""COMPUTED_VALUE"""),44146.66666666667)</f>
        <v>44146.66667</v>
      </c>
      <c r="B223" s="11">
        <f>IFERROR(__xludf.DUMMYFUNCTION("""COMPUTED_VALUE"""),53.58)</f>
        <v>53.58</v>
      </c>
      <c r="C223" s="12">
        <f>IFERROR(__xludf.DUMMYFUNCTION("""COMPUTED_VALUE"""),44146.66666666667)</f>
        <v>44146.66667</v>
      </c>
      <c r="D223" s="11">
        <f>IFERROR(__xludf.DUMMYFUNCTION("""COMPUTED_VALUE"""),216.55)</f>
        <v>216.55</v>
      </c>
      <c r="E223" s="12">
        <f>IFERROR(__xludf.DUMMYFUNCTION("""COMPUTED_VALUE"""),44146.66666666667)</f>
        <v>44146.66667</v>
      </c>
      <c r="F223" s="11">
        <f>IFERROR(__xludf.DUMMYFUNCTION("""COMPUTED_VALUE"""),139.04)</f>
        <v>139.04</v>
      </c>
      <c r="G223" s="12">
        <f>IFERROR(__xludf.DUMMYFUNCTION("""COMPUTED_VALUE"""),44146.66666666667)</f>
        <v>44146.66667</v>
      </c>
      <c r="H223" s="11">
        <f>IFERROR(__xludf.DUMMYFUNCTION("""COMPUTED_VALUE"""),119.49)</f>
        <v>119.49</v>
      </c>
    </row>
    <row r="224" ht="15.75" customHeight="1">
      <c r="A224" s="12">
        <f>IFERROR(__xludf.DUMMYFUNCTION("""COMPUTED_VALUE"""),44147.66666666667)</f>
        <v>44147.66667</v>
      </c>
      <c r="B224" s="11">
        <f>IFERROR(__xludf.DUMMYFUNCTION("""COMPUTED_VALUE"""),53.01)</f>
        <v>53.01</v>
      </c>
      <c r="C224" s="12">
        <f>IFERROR(__xludf.DUMMYFUNCTION("""COMPUTED_VALUE"""),44147.66666666667)</f>
        <v>44147.66667</v>
      </c>
      <c r="D224" s="11">
        <f>IFERROR(__xludf.DUMMYFUNCTION("""COMPUTED_VALUE"""),215.44)</f>
        <v>215.44</v>
      </c>
      <c r="E224" s="12">
        <f>IFERROR(__xludf.DUMMYFUNCTION("""COMPUTED_VALUE"""),44147.66666666667)</f>
        <v>44147.66667</v>
      </c>
      <c r="F224" s="11">
        <f>IFERROR(__xludf.DUMMYFUNCTION("""COMPUTED_VALUE"""),137.25)</f>
        <v>137.25</v>
      </c>
      <c r="G224" s="12">
        <f>IFERROR(__xludf.DUMMYFUNCTION("""COMPUTED_VALUE"""),44147.66666666667)</f>
        <v>44147.66667</v>
      </c>
      <c r="H224" s="11">
        <f>IFERROR(__xludf.DUMMYFUNCTION("""COMPUTED_VALUE"""),119.21)</f>
        <v>119.21</v>
      </c>
    </row>
    <row r="225" ht="15.75" customHeight="1">
      <c r="A225" s="12">
        <f>IFERROR(__xludf.DUMMYFUNCTION("""COMPUTED_VALUE"""),44148.66666666667)</f>
        <v>44148.66667</v>
      </c>
      <c r="B225" s="11">
        <f>IFERROR(__xludf.DUMMYFUNCTION("""COMPUTED_VALUE"""),53.45)</f>
        <v>53.45</v>
      </c>
      <c r="C225" s="12">
        <f>IFERROR(__xludf.DUMMYFUNCTION("""COMPUTED_VALUE"""),44148.66666666667)</f>
        <v>44148.66667</v>
      </c>
      <c r="D225" s="11">
        <f>IFERROR(__xludf.DUMMYFUNCTION("""COMPUTED_VALUE"""),216.51)</f>
        <v>216.51</v>
      </c>
      <c r="E225" s="12">
        <f>IFERROR(__xludf.DUMMYFUNCTION("""COMPUTED_VALUE"""),44148.66666666667)</f>
        <v>44148.66667</v>
      </c>
      <c r="F225" s="11">
        <f>IFERROR(__xludf.DUMMYFUNCTION("""COMPUTED_VALUE"""),136.17)</f>
        <v>136.17</v>
      </c>
      <c r="G225" s="12">
        <f>IFERROR(__xludf.DUMMYFUNCTION("""COMPUTED_VALUE"""),44148.66666666667)</f>
        <v>44148.66667</v>
      </c>
      <c r="H225" s="11">
        <f>IFERROR(__xludf.DUMMYFUNCTION("""COMPUTED_VALUE"""),119.26)</f>
        <v>119.26</v>
      </c>
    </row>
    <row r="226" ht="15.75" customHeight="1">
      <c r="A226" s="12">
        <f>IFERROR(__xludf.DUMMYFUNCTION("""COMPUTED_VALUE"""),44151.66666666667)</f>
        <v>44151.66667</v>
      </c>
      <c r="B226" s="11">
        <f>IFERROR(__xludf.DUMMYFUNCTION("""COMPUTED_VALUE"""),53.85)</f>
        <v>53.85</v>
      </c>
      <c r="C226" s="12">
        <f>IFERROR(__xludf.DUMMYFUNCTION("""COMPUTED_VALUE"""),44151.66666666667)</f>
        <v>44151.66667</v>
      </c>
      <c r="D226" s="11">
        <f>IFERROR(__xludf.DUMMYFUNCTION("""COMPUTED_VALUE"""),217.23)</f>
        <v>217.23</v>
      </c>
      <c r="E226" s="12">
        <f>IFERROR(__xludf.DUMMYFUNCTION("""COMPUTED_VALUE"""),44151.66666666667)</f>
        <v>44151.66667</v>
      </c>
      <c r="F226" s="11">
        <f>IFERROR(__xludf.DUMMYFUNCTION("""COMPUTED_VALUE"""),136.03)</f>
        <v>136.03</v>
      </c>
      <c r="G226" s="12">
        <f>IFERROR(__xludf.DUMMYFUNCTION("""COMPUTED_VALUE"""),44151.66666666667)</f>
        <v>44151.66667</v>
      </c>
      <c r="H226" s="11">
        <f>IFERROR(__xludf.DUMMYFUNCTION("""COMPUTED_VALUE"""),120.3)</f>
        <v>120.3</v>
      </c>
    </row>
    <row r="227" ht="15.75" customHeight="1">
      <c r="A227" s="12">
        <f>IFERROR(__xludf.DUMMYFUNCTION("""COMPUTED_VALUE"""),44152.66666666667)</f>
        <v>44152.66667</v>
      </c>
      <c r="B227" s="11">
        <f>IFERROR(__xludf.DUMMYFUNCTION("""COMPUTED_VALUE"""),53.68)</f>
        <v>53.68</v>
      </c>
      <c r="C227" s="12">
        <f>IFERROR(__xludf.DUMMYFUNCTION("""COMPUTED_VALUE"""),44152.66666666667)</f>
        <v>44152.66667</v>
      </c>
      <c r="D227" s="11">
        <f>IFERROR(__xludf.DUMMYFUNCTION("""COMPUTED_VALUE"""),214.46)</f>
        <v>214.46</v>
      </c>
      <c r="E227" s="12">
        <f>IFERROR(__xludf.DUMMYFUNCTION("""COMPUTED_VALUE"""),44152.66666666667)</f>
        <v>44152.66667</v>
      </c>
      <c r="F227" s="11">
        <f>IFERROR(__xludf.DUMMYFUNCTION("""COMPUTED_VALUE"""),147.2)</f>
        <v>147.2</v>
      </c>
      <c r="G227" s="12">
        <f>IFERROR(__xludf.DUMMYFUNCTION("""COMPUTED_VALUE"""),44152.66666666667)</f>
        <v>44152.66667</v>
      </c>
      <c r="H227" s="11">
        <f>IFERROR(__xludf.DUMMYFUNCTION("""COMPUTED_VALUE"""),119.39)</f>
        <v>119.39</v>
      </c>
    </row>
    <row r="228" ht="15.75" customHeight="1">
      <c r="A228" s="12">
        <f>IFERROR(__xludf.DUMMYFUNCTION("""COMPUTED_VALUE"""),44153.66666666667)</f>
        <v>44153.66667</v>
      </c>
      <c r="B228" s="11">
        <f>IFERROR(__xludf.DUMMYFUNCTION("""COMPUTED_VALUE"""),52.61)</f>
        <v>52.61</v>
      </c>
      <c r="C228" s="12">
        <f>IFERROR(__xludf.DUMMYFUNCTION("""COMPUTED_VALUE"""),44153.66666666667)</f>
        <v>44153.66667</v>
      </c>
      <c r="D228" s="11">
        <f>IFERROR(__xludf.DUMMYFUNCTION("""COMPUTED_VALUE"""),211.08)</f>
        <v>211.08</v>
      </c>
      <c r="E228" s="12">
        <f>IFERROR(__xludf.DUMMYFUNCTION("""COMPUTED_VALUE"""),44153.66666666667)</f>
        <v>44153.66667</v>
      </c>
      <c r="F228" s="11">
        <f>IFERROR(__xludf.DUMMYFUNCTION("""COMPUTED_VALUE"""),162.21)</f>
        <v>162.21</v>
      </c>
      <c r="G228" s="12">
        <f>IFERROR(__xludf.DUMMYFUNCTION("""COMPUTED_VALUE"""),44153.66666666667)</f>
        <v>44153.66667</v>
      </c>
      <c r="H228" s="11">
        <f>IFERROR(__xludf.DUMMYFUNCTION("""COMPUTED_VALUE"""),118.03)</f>
        <v>118.03</v>
      </c>
    </row>
    <row r="229" ht="15.75" customHeight="1">
      <c r="A229" s="12">
        <f>IFERROR(__xludf.DUMMYFUNCTION("""COMPUTED_VALUE"""),44154.66666666667)</f>
        <v>44154.66667</v>
      </c>
      <c r="B229" s="11">
        <f>IFERROR(__xludf.DUMMYFUNCTION("""COMPUTED_VALUE"""),53.13)</f>
        <v>53.13</v>
      </c>
      <c r="C229" s="12">
        <f>IFERROR(__xludf.DUMMYFUNCTION("""COMPUTED_VALUE"""),44154.66666666667)</f>
        <v>44154.66667</v>
      </c>
      <c r="D229" s="11">
        <f>IFERROR(__xludf.DUMMYFUNCTION("""COMPUTED_VALUE"""),212.42)</f>
        <v>212.42</v>
      </c>
      <c r="E229" s="12">
        <f>IFERROR(__xludf.DUMMYFUNCTION("""COMPUTED_VALUE"""),44154.66666666667)</f>
        <v>44154.66667</v>
      </c>
      <c r="F229" s="11">
        <f>IFERROR(__xludf.DUMMYFUNCTION("""COMPUTED_VALUE"""),166.42)</f>
        <v>166.42</v>
      </c>
      <c r="G229" s="12">
        <f>IFERROR(__xludf.DUMMYFUNCTION("""COMPUTED_VALUE"""),44154.66666666667)</f>
        <v>44154.66667</v>
      </c>
      <c r="H229" s="11">
        <f>IFERROR(__xludf.DUMMYFUNCTION("""COMPUTED_VALUE"""),118.64)</f>
        <v>118.64</v>
      </c>
    </row>
    <row r="230" ht="15.75" customHeight="1">
      <c r="A230" s="12">
        <f>IFERROR(__xludf.DUMMYFUNCTION("""COMPUTED_VALUE"""),44155.66666666667)</f>
        <v>44155.66667</v>
      </c>
      <c r="B230" s="11">
        <f>IFERROR(__xludf.DUMMYFUNCTION("""COMPUTED_VALUE"""),52.67)</f>
        <v>52.67</v>
      </c>
      <c r="C230" s="12">
        <f>IFERROR(__xludf.DUMMYFUNCTION("""COMPUTED_VALUE"""),44155.66666666667)</f>
        <v>44155.66667</v>
      </c>
      <c r="D230" s="11">
        <f>IFERROR(__xludf.DUMMYFUNCTION("""COMPUTED_VALUE"""),210.39)</f>
        <v>210.39</v>
      </c>
      <c r="E230" s="12">
        <f>IFERROR(__xludf.DUMMYFUNCTION("""COMPUTED_VALUE"""),44155.66666666667)</f>
        <v>44155.66667</v>
      </c>
      <c r="F230" s="11">
        <f>IFERROR(__xludf.DUMMYFUNCTION("""COMPUTED_VALUE"""),163.2)</f>
        <v>163.2</v>
      </c>
      <c r="G230" s="12">
        <f>IFERROR(__xludf.DUMMYFUNCTION("""COMPUTED_VALUE"""),44155.66666666667)</f>
        <v>44155.66667</v>
      </c>
      <c r="H230" s="11">
        <f>IFERROR(__xludf.DUMMYFUNCTION("""COMPUTED_VALUE"""),117.34)</f>
        <v>117.34</v>
      </c>
    </row>
    <row r="231" ht="15.75" customHeight="1">
      <c r="A231" s="12">
        <f>IFERROR(__xludf.DUMMYFUNCTION("""COMPUTED_VALUE"""),44158.66666666667)</f>
        <v>44158.66667</v>
      </c>
      <c r="B231" s="11">
        <f>IFERROR(__xludf.DUMMYFUNCTION("""COMPUTED_VALUE"""),52.68)</f>
        <v>52.68</v>
      </c>
      <c r="C231" s="12">
        <f>IFERROR(__xludf.DUMMYFUNCTION("""COMPUTED_VALUE"""),44158.66666666667)</f>
        <v>44158.66667</v>
      </c>
      <c r="D231" s="11">
        <f>IFERROR(__xludf.DUMMYFUNCTION("""COMPUTED_VALUE"""),210.11)</f>
        <v>210.11</v>
      </c>
      <c r="E231" s="12">
        <f>IFERROR(__xludf.DUMMYFUNCTION("""COMPUTED_VALUE"""),44158.66666666667)</f>
        <v>44158.66667</v>
      </c>
      <c r="F231" s="11">
        <f>IFERROR(__xludf.DUMMYFUNCTION("""COMPUTED_VALUE"""),173.95)</f>
        <v>173.95</v>
      </c>
      <c r="G231" s="12">
        <f>IFERROR(__xludf.DUMMYFUNCTION("""COMPUTED_VALUE"""),44158.66666666667)</f>
        <v>44158.66667</v>
      </c>
      <c r="H231" s="11">
        <f>IFERROR(__xludf.DUMMYFUNCTION("""COMPUTED_VALUE"""),113.85)</f>
        <v>113.85</v>
      </c>
    </row>
    <row r="232" ht="15.75" customHeight="1">
      <c r="A232" s="12">
        <f>IFERROR(__xludf.DUMMYFUNCTION("""COMPUTED_VALUE"""),44159.66666666667)</f>
        <v>44159.66667</v>
      </c>
      <c r="B232" s="11">
        <f>IFERROR(__xludf.DUMMYFUNCTION("""COMPUTED_VALUE"""),53.22)</f>
        <v>53.22</v>
      </c>
      <c r="C232" s="12">
        <f>IFERROR(__xludf.DUMMYFUNCTION("""COMPUTED_VALUE"""),44159.66666666667)</f>
        <v>44159.66667</v>
      </c>
      <c r="D232" s="11">
        <f>IFERROR(__xludf.DUMMYFUNCTION("""COMPUTED_VALUE"""),213.86)</f>
        <v>213.86</v>
      </c>
      <c r="E232" s="12">
        <f>IFERROR(__xludf.DUMMYFUNCTION("""COMPUTED_VALUE"""),44159.66666666667)</f>
        <v>44159.66667</v>
      </c>
      <c r="F232" s="11">
        <f>IFERROR(__xludf.DUMMYFUNCTION("""COMPUTED_VALUE"""),185.13)</f>
        <v>185.13</v>
      </c>
      <c r="G232" s="12">
        <f>IFERROR(__xludf.DUMMYFUNCTION("""COMPUTED_VALUE"""),44159.66666666667)</f>
        <v>44159.66667</v>
      </c>
      <c r="H232" s="11">
        <f>IFERROR(__xludf.DUMMYFUNCTION("""COMPUTED_VALUE"""),115.17)</f>
        <v>115.17</v>
      </c>
    </row>
    <row r="233" ht="15.75" customHeight="1">
      <c r="A233" s="12">
        <f>IFERROR(__xludf.DUMMYFUNCTION("""COMPUTED_VALUE"""),44160.66666666667)</f>
        <v>44160.66667</v>
      </c>
      <c r="B233" s="11">
        <f>IFERROR(__xludf.DUMMYFUNCTION("""COMPUTED_VALUE"""),52.93)</f>
        <v>52.93</v>
      </c>
      <c r="C233" s="12">
        <f>IFERROR(__xludf.DUMMYFUNCTION("""COMPUTED_VALUE"""),44160.66666666667)</f>
        <v>44160.66667</v>
      </c>
      <c r="D233" s="11">
        <f>IFERROR(__xludf.DUMMYFUNCTION("""COMPUTED_VALUE"""),213.87)</f>
        <v>213.87</v>
      </c>
      <c r="E233" s="12">
        <f>IFERROR(__xludf.DUMMYFUNCTION("""COMPUTED_VALUE"""),44160.66666666667)</f>
        <v>44160.66667</v>
      </c>
      <c r="F233" s="11">
        <f>IFERROR(__xludf.DUMMYFUNCTION("""COMPUTED_VALUE"""),191.33)</f>
        <v>191.33</v>
      </c>
      <c r="G233" s="12">
        <f>IFERROR(__xludf.DUMMYFUNCTION("""COMPUTED_VALUE"""),44160.66666666667)</f>
        <v>44160.66667</v>
      </c>
      <c r="H233" s="11">
        <f>IFERROR(__xludf.DUMMYFUNCTION("""COMPUTED_VALUE"""),116.03)</f>
        <v>116.03</v>
      </c>
    </row>
    <row r="234" ht="15.75" customHeight="1">
      <c r="A234" s="12">
        <f>IFERROR(__xludf.DUMMYFUNCTION("""COMPUTED_VALUE"""),44162.54166666667)</f>
        <v>44162.54167</v>
      </c>
      <c r="B234" s="11">
        <f>IFERROR(__xludf.DUMMYFUNCTION("""COMPUTED_VALUE"""),52.7)</f>
        <v>52.7</v>
      </c>
      <c r="C234" s="12">
        <f>IFERROR(__xludf.DUMMYFUNCTION("""COMPUTED_VALUE"""),44162.54166666667)</f>
        <v>44162.54167</v>
      </c>
      <c r="D234" s="11">
        <f>IFERROR(__xludf.DUMMYFUNCTION("""COMPUTED_VALUE"""),215.23)</f>
        <v>215.23</v>
      </c>
      <c r="E234" s="12">
        <f>IFERROR(__xludf.DUMMYFUNCTION("""COMPUTED_VALUE"""),44162.54166666667)</f>
        <v>44162.54167</v>
      </c>
      <c r="F234" s="11">
        <f>IFERROR(__xludf.DUMMYFUNCTION("""COMPUTED_VALUE"""),195.25)</f>
        <v>195.25</v>
      </c>
      <c r="G234" s="12">
        <f>IFERROR(__xludf.DUMMYFUNCTION("""COMPUTED_VALUE"""),44162.54166666667)</f>
        <v>44162.54167</v>
      </c>
      <c r="H234" s="11">
        <f>IFERROR(__xludf.DUMMYFUNCTION("""COMPUTED_VALUE"""),116.59)</f>
        <v>116.59</v>
      </c>
    </row>
    <row r="235" ht="15.75" customHeight="1">
      <c r="A235" s="12">
        <f>IFERROR(__xludf.DUMMYFUNCTION("""COMPUTED_VALUE"""),44165.66666666667)</f>
        <v>44165.66667</v>
      </c>
      <c r="B235" s="11">
        <f>IFERROR(__xludf.DUMMYFUNCTION("""COMPUTED_VALUE"""),51.6)</f>
        <v>51.6</v>
      </c>
      <c r="C235" s="12">
        <f>IFERROR(__xludf.DUMMYFUNCTION("""COMPUTED_VALUE"""),44165.66666666667)</f>
        <v>44165.66667</v>
      </c>
      <c r="D235" s="11">
        <f>IFERROR(__xludf.DUMMYFUNCTION("""COMPUTED_VALUE"""),214.07)</f>
        <v>214.07</v>
      </c>
      <c r="E235" s="12">
        <f>IFERROR(__xludf.DUMMYFUNCTION("""COMPUTED_VALUE"""),44165.66666666667)</f>
        <v>44165.66667</v>
      </c>
      <c r="F235" s="11">
        <f>IFERROR(__xludf.DUMMYFUNCTION("""COMPUTED_VALUE"""),189.2)</f>
        <v>189.2</v>
      </c>
      <c r="G235" s="12">
        <f>IFERROR(__xludf.DUMMYFUNCTION("""COMPUTED_VALUE"""),44165.66666666667)</f>
        <v>44165.66667</v>
      </c>
      <c r="H235" s="11">
        <f>IFERROR(__xludf.DUMMYFUNCTION("""COMPUTED_VALUE"""),119.05)</f>
        <v>119.05</v>
      </c>
    </row>
    <row r="236" ht="15.75" customHeight="1">
      <c r="A236" s="12">
        <f>IFERROR(__xludf.DUMMYFUNCTION("""COMPUTED_VALUE"""),44166.66666666667)</f>
        <v>44166.66667</v>
      </c>
      <c r="B236" s="11">
        <f>IFERROR(__xludf.DUMMYFUNCTION("""COMPUTED_VALUE"""),52.04)</f>
        <v>52.04</v>
      </c>
      <c r="C236" s="12">
        <f>IFERROR(__xludf.DUMMYFUNCTION("""COMPUTED_VALUE"""),44166.66666666667)</f>
        <v>44166.66667</v>
      </c>
      <c r="D236" s="11">
        <f>IFERROR(__xludf.DUMMYFUNCTION("""COMPUTED_VALUE"""),216.21)</f>
        <v>216.21</v>
      </c>
      <c r="E236" s="12">
        <f>IFERROR(__xludf.DUMMYFUNCTION("""COMPUTED_VALUE"""),44166.66666666667)</f>
        <v>44166.66667</v>
      </c>
      <c r="F236" s="11">
        <f>IFERROR(__xludf.DUMMYFUNCTION("""COMPUTED_VALUE"""),194.92)</f>
        <v>194.92</v>
      </c>
      <c r="G236" s="12">
        <f>IFERROR(__xludf.DUMMYFUNCTION("""COMPUTED_VALUE"""),44166.66666666667)</f>
        <v>44166.66667</v>
      </c>
      <c r="H236" s="11">
        <f>IFERROR(__xludf.DUMMYFUNCTION("""COMPUTED_VALUE"""),122.72)</f>
        <v>122.72</v>
      </c>
    </row>
    <row r="237" ht="15.75" customHeight="1">
      <c r="A237" s="12">
        <f>IFERROR(__xludf.DUMMYFUNCTION("""COMPUTED_VALUE"""),44167.66666666667)</f>
        <v>44167.66667</v>
      </c>
      <c r="B237" s="11">
        <f>IFERROR(__xludf.DUMMYFUNCTION("""COMPUTED_VALUE"""),52.11)</f>
        <v>52.11</v>
      </c>
      <c r="C237" s="12">
        <f>IFERROR(__xludf.DUMMYFUNCTION("""COMPUTED_VALUE"""),44167.66666666667)</f>
        <v>44167.66667</v>
      </c>
      <c r="D237" s="11">
        <f>IFERROR(__xludf.DUMMYFUNCTION("""COMPUTED_VALUE"""),215.37)</f>
        <v>215.37</v>
      </c>
      <c r="E237" s="12">
        <f>IFERROR(__xludf.DUMMYFUNCTION("""COMPUTED_VALUE"""),44167.66666666667)</f>
        <v>44167.66667</v>
      </c>
      <c r="F237" s="11">
        <f>IFERROR(__xludf.DUMMYFUNCTION("""COMPUTED_VALUE"""),189.61)</f>
        <v>189.61</v>
      </c>
      <c r="G237" s="12">
        <f>IFERROR(__xludf.DUMMYFUNCTION("""COMPUTED_VALUE"""),44167.66666666667)</f>
        <v>44167.66667</v>
      </c>
      <c r="H237" s="11">
        <f>IFERROR(__xludf.DUMMYFUNCTION("""COMPUTED_VALUE"""),123.08)</f>
        <v>123.08</v>
      </c>
    </row>
    <row r="238" ht="15.75" customHeight="1">
      <c r="A238" s="12">
        <f>IFERROR(__xludf.DUMMYFUNCTION("""COMPUTED_VALUE"""),44168.66666666667)</f>
        <v>44168.66667</v>
      </c>
      <c r="B238" s="11">
        <f>IFERROR(__xludf.DUMMYFUNCTION("""COMPUTED_VALUE"""),52.78)</f>
        <v>52.78</v>
      </c>
      <c r="C238" s="12">
        <f>IFERROR(__xludf.DUMMYFUNCTION("""COMPUTED_VALUE"""),44168.66666666667)</f>
        <v>44168.66667</v>
      </c>
      <c r="D238" s="11">
        <f>IFERROR(__xludf.DUMMYFUNCTION("""COMPUTED_VALUE"""),214.24)</f>
        <v>214.24</v>
      </c>
      <c r="E238" s="12">
        <f>IFERROR(__xludf.DUMMYFUNCTION("""COMPUTED_VALUE"""),44168.66666666667)</f>
        <v>44168.66667</v>
      </c>
      <c r="F238" s="11">
        <f>IFERROR(__xludf.DUMMYFUNCTION("""COMPUTED_VALUE"""),197.79)</f>
        <v>197.79</v>
      </c>
      <c r="G238" s="12">
        <f>IFERROR(__xludf.DUMMYFUNCTION("""COMPUTED_VALUE"""),44168.66666666667)</f>
        <v>44168.66667</v>
      </c>
      <c r="H238" s="11">
        <f>IFERROR(__xludf.DUMMYFUNCTION("""COMPUTED_VALUE"""),122.94)</f>
        <v>122.94</v>
      </c>
    </row>
    <row r="239" ht="15.75" customHeight="1">
      <c r="A239" s="12">
        <f>IFERROR(__xludf.DUMMYFUNCTION("""COMPUTED_VALUE"""),44169.66666666667)</f>
        <v>44169.66667</v>
      </c>
      <c r="B239" s="11">
        <f>IFERROR(__xludf.DUMMYFUNCTION("""COMPUTED_VALUE"""),53.85)</f>
        <v>53.85</v>
      </c>
      <c r="C239" s="12">
        <f>IFERROR(__xludf.DUMMYFUNCTION("""COMPUTED_VALUE"""),44169.66666666667)</f>
        <v>44169.66667</v>
      </c>
      <c r="D239" s="11">
        <f>IFERROR(__xludf.DUMMYFUNCTION("""COMPUTED_VALUE"""),214.36)</f>
        <v>214.36</v>
      </c>
      <c r="E239" s="12">
        <f>IFERROR(__xludf.DUMMYFUNCTION("""COMPUTED_VALUE"""),44169.66666666667)</f>
        <v>44169.66667</v>
      </c>
      <c r="F239" s="11">
        <f>IFERROR(__xludf.DUMMYFUNCTION("""COMPUTED_VALUE"""),199.68)</f>
        <v>199.68</v>
      </c>
      <c r="G239" s="12">
        <f>IFERROR(__xludf.DUMMYFUNCTION("""COMPUTED_VALUE"""),44169.66666666667)</f>
        <v>44169.66667</v>
      </c>
      <c r="H239" s="11">
        <f>IFERROR(__xludf.DUMMYFUNCTION("""COMPUTED_VALUE"""),122.25)</f>
        <v>122.25</v>
      </c>
    </row>
    <row r="240" ht="15.75" customHeight="1">
      <c r="A240" s="12">
        <f>IFERROR(__xludf.DUMMYFUNCTION("""COMPUTED_VALUE"""),44172.66666666667)</f>
        <v>44172.66667</v>
      </c>
      <c r="B240" s="11">
        <f>IFERROR(__xludf.DUMMYFUNCTION("""COMPUTED_VALUE"""),52.99)</f>
        <v>52.99</v>
      </c>
      <c r="C240" s="12">
        <f>IFERROR(__xludf.DUMMYFUNCTION("""COMPUTED_VALUE"""),44172.66666666667)</f>
        <v>44172.66667</v>
      </c>
      <c r="D240" s="11">
        <f>IFERROR(__xludf.DUMMYFUNCTION("""COMPUTED_VALUE"""),214.29)</f>
        <v>214.29</v>
      </c>
      <c r="E240" s="12">
        <f>IFERROR(__xludf.DUMMYFUNCTION("""COMPUTED_VALUE"""),44172.66666666667)</f>
        <v>44172.66667</v>
      </c>
      <c r="F240" s="11">
        <f>IFERROR(__xludf.DUMMYFUNCTION("""COMPUTED_VALUE"""),213.92)</f>
        <v>213.92</v>
      </c>
      <c r="G240" s="12">
        <f>IFERROR(__xludf.DUMMYFUNCTION("""COMPUTED_VALUE"""),44172.66666666667)</f>
        <v>44172.66667</v>
      </c>
      <c r="H240" s="11">
        <f>IFERROR(__xludf.DUMMYFUNCTION("""COMPUTED_VALUE"""),123.75)</f>
        <v>123.75</v>
      </c>
    </row>
    <row r="241" ht="15.75" customHeight="1">
      <c r="A241" s="12">
        <f>IFERROR(__xludf.DUMMYFUNCTION("""COMPUTED_VALUE"""),44173.66666666667)</f>
        <v>44173.66667</v>
      </c>
      <c r="B241" s="11">
        <f>IFERROR(__xludf.DUMMYFUNCTION("""COMPUTED_VALUE"""),53.18)</f>
        <v>53.18</v>
      </c>
      <c r="C241" s="12">
        <f>IFERROR(__xludf.DUMMYFUNCTION("""COMPUTED_VALUE"""),44173.66666666667)</f>
        <v>44173.66667</v>
      </c>
      <c r="D241" s="11">
        <f>IFERROR(__xludf.DUMMYFUNCTION("""COMPUTED_VALUE"""),216.01)</f>
        <v>216.01</v>
      </c>
      <c r="E241" s="12">
        <f>IFERROR(__xludf.DUMMYFUNCTION("""COMPUTED_VALUE"""),44173.66666666667)</f>
        <v>44173.66667</v>
      </c>
      <c r="F241" s="11">
        <f>IFERROR(__xludf.DUMMYFUNCTION("""COMPUTED_VALUE"""),216.63)</f>
        <v>216.63</v>
      </c>
      <c r="G241" s="12">
        <f>IFERROR(__xludf.DUMMYFUNCTION("""COMPUTED_VALUE"""),44173.66666666667)</f>
        <v>44173.66667</v>
      </c>
      <c r="H241" s="11">
        <f>IFERROR(__xludf.DUMMYFUNCTION("""COMPUTED_VALUE"""),124.38)</f>
        <v>124.38</v>
      </c>
    </row>
    <row r="242" ht="15.75" customHeight="1">
      <c r="A242" s="12">
        <f>IFERROR(__xludf.DUMMYFUNCTION("""COMPUTED_VALUE"""),44174.66666666667)</f>
        <v>44174.66667</v>
      </c>
      <c r="B242" s="11">
        <f>IFERROR(__xludf.DUMMYFUNCTION("""COMPUTED_VALUE"""),53.33)</f>
        <v>53.33</v>
      </c>
      <c r="C242" s="12">
        <f>IFERROR(__xludf.DUMMYFUNCTION("""COMPUTED_VALUE"""),44174.66666666667)</f>
        <v>44174.66667</v>
      </c>
      <c r="D242" s="11">
        <f>IFERROR(__xludf.DUMMYFUNCTION("""COMPUTED_VALUE"""),211.8)</f>
        <v>211.8</v>
      </c>
      <c r="E242" s="12">
        <f>IFERROR(__xludf.DUMMYFUNCTION("""COMPUTED_VALUE"""),44174.66666666667)</f>
        <v>44174.66667</v>
      </c>
      <c r="F242" s="11">
        <f>IFERROR(__xludf.DUMMYFUNCTION("""COMPUTED_VALUE"""),201.49)</f>
        <v>201.49</v>
      </c>
      <c r="G242" s="12">
        <f>IFERROR(__xludf.DUMMYFUNCTION("""COMPUTED_VALUE"""),44174.66666666667)</f>
        <v>44174.66667</v>
      </c>
      <c r="H242" s="11">
        <f>IFERROR(__xludf.DUMMYFUNCTION("""COMPUTED_VALUE"""),121.78)</f>
        <v>121.78</v>
      </c>
    </row>
    <row r="243" ht="15.75" customHeight="1">
      <c r="A243" s="12">
        <f>IFERROR(__xludf.DUMMYFUNCTION("""COMPUTED_VALUE"""),44175.66666666667)</f>
        <v>44175.66667</v>
      </c>
      <c r="B243" s="11">
        <f>IFERROR(__xludf.DUMMYFUNCTION("""COMPUTED_VALUE"""),53.05)</f>
        <v>53.05</v>
      </c>
      <c r="C243" s="12">
        <f>IFERROR(__xludf.DUMMYFUNCTION("""COMPUTED_VALUE"""),44175.66666666667)</f>
        <v>44175.66667</v>
      </c>
      <c r="D243" s="11">
        <f>IFERROR(__xludf.DUMMYFUNCTION("""COMPUTED_VALUE"""),210.52)</f>
        <v>210.52</v>
      </c>
      <c r="E243" s="12">
        <f>IFERROR(__xludf.DUMMYFUNCTION("""COMPUTED_VALUE"""),44175.66666666667)</f>
        <v>44175.66667</v>
      </c>
      <c r="F243" s="11">
        <f>IFERROR(__xludf.DUMMYFUNCTION("""COMPUTED_VALUE"""),209.02)</f>
        <v>209.02</v>
      </c>
      <c r="G243" s="12">
        <f>IFERROR(__xludf.DUMMYFUNCTION("""COMPUTED_VALUE"""),44175.66666666667)</f>
        <v>44175.66667</v>
      </c>
      <c r="H243" s="11">
        <f>IFERROR(__xludf.DUMMYFUNCTION("""COMPUTED_VALUE"""),123.24)</f>
        <v>123.24</v>
      </c>
    </row>
    <row r="244" ht="15.75" customHeight="1">
      <c r="A244" s="12">
        <f>IFERROR(__xludf.DUMMYFUNCTION("""COMPUTED_VALUE"""),44176.66666666667)</f>
        <v>44176.66667</v>
      </c>
      <c r="B244" s="11">
        <f>IFERROR(__xludf.DUMMYFUNCTION("""COMPUTED_VALUE"""),53.35)</f>
        <v>53.35</v>
      </c>
      <c r="C244" s="12">
        <f>IFERROR(__xludf.DUMMYFUNCTION("""COMPUTED_VALUE"""),44176.66666666667)</f>
        <v>44176.66667</v>
      </c>
      <c r="D244" s="11">
        <f>IFERROR(__xludf.DUMMYFUNCTION("""COMPUTED_VALUE"""),213.26)</f>
        <v>213.26</v>
      </c>
      <c r="E244" s="12">
        <f>IFERROR(__xludf.DUMMYFUNCTION("""COMPUTED_VALUE"""),44176.66666666667)</f>
        <v>44176.66667</v>
      </c>
      <c r="F244" s="11">
        <f>IFERROR(__xludf.DUMMYFUNCTION("""COMPUTED_VALUE"""),203.33)</f>
        <v>203.33</v>
      </c>
      <c r="G244" s="12">
        <f>IFERROR(__xludf.DUMMYFUNCTION("""COMPUTED_VALUE"""),44176.66666666667)</f>
        <v>44176.66667</v>
      </c>
      <c r="H244" s="11">
        <f>IFERROR(__xludf.DUMMYFUNCTION("""COMPUTED_VALUE"""),122.41)</f>
        <v>122.41</v>
      </c>
    </row>
    <row r="245" ht="15.75" customHeight="1">
      <c r="A245" s="12">
        <f>IFERROR(__xludf.DUMMYFUNCTION("""COMPUTED_VALUE"""),44179.66666666667)</f>
        <v>44179.66667</v>
      </c>
      <c r="B245" s="11">
        <f>IFERROR(__xludf.DUMMYFUNCTION("""COMPUTED_VALUE"""),53.27)</f>
        <v>53.27</v>
      </c>
      <c r="C245" s="12">
        <f>IFERROR(__xludf.DUMMYFUNCTION("""COMPUTED_VALUE"""),44179.66666666667)</f>
        <v>44179.66667</v>
      </c>
      <c r="D245" s="11">
        <f>IFERROR(__xludf.DUMMYFUNCTION("""COMPUTED_VALUE"""),214.2)</f>
        <v>214.2</v>
      </c>
      <c r="E245" s="12">
        <f>IFERROR(__xludf.DUMMYFUNCTION("""COMPUTED_VALUE"""),44179.66666666667)</f>
        <v>44179.66667</v>
      </c>
      <c r="F245" s="11">
        <f>IFERROR(__xludf.DUMMYFUNCTION("""COMPUTED_VALUE"""),213.28)</f>
        <v>213.28</v>
      </c>
      <c r="G245" s="12">
        <f>IFERROR(__xludf.DUMMYFUNCTION("""COMPUTED_VALUE"""),44179.66666666667)</f>
        <v>44179.66667</v>
      </c>
      <c r="H245" s="11">
        <f>IFERROR(__xludf.DUMMYFUNCTION("""COMPUTED_VALUE"""),121.78)</f>
        <v>121.78</v>
      </c>
    </row>
    <row r="246" ht="15.75" customHeight="1">
      <c r="A246" s="12">
        <f>IFERROR(__xludf.DUMMYFUNCTION("""COMPUTED_VALUE"""),44180.66666666667)</f>
        <v>44180.66667</v>
      </c>
      <c r="B246" s="11">
        <f>IFERROR(__xludf.DUMMYFUNCTION("""COMPUTED_VALUE"""),53.84)</f>
        <v>53.84</v>
      </c>
      <c r="C246" s="12">
        <f>IFERROR(__xludf.DUMMYFUNCTION("""COMPUTED_VALUE"""),44180.66666666667)</f>
        <v>44180.66667</v>
      </c>
      <c r="D246" s="11">
        <f>IFERROR(__xludf.DUMMYFUNCTION("""COMPUTED_VALUE"""),214.13)</f>
        <v>214.13</v>
      </c>
      <c r="E246" s="12">
        <f>IFERROR(__xludf.DUMMYFUNCTION("""COMPUTED_VALUE"""),44180.66666666667)</f>
        <v>44180.66667</v>
      </c>
      <c r="F246" s="11">
        <f>IFERROR(__xludf.DUMMYFUNCTION("""COMPUTED_VALUE"""),211.08)</f>
        <v>211.08</v>
      </c>
      <c r="G246" s="12">
        <f>IFERROR(__xludf.DUMMYFUNCTION("""COMPUTED_VALUE"""),44180.66666666667)</f>
        <v>44180.66667</v>
      </c>
      <c r="H246" s="11">
        <f>IFERROR(__xludf.DUMMYFUNCTION("""COMPUTED_VALUE"""),127.88)</f>
        <v>127.88</v>
      </c>
    </row>
    <row r="247" ht="15.75" customHeight="1">
      <c r="A247" s="12">
        <f>IFERROR(__xludf.DUMMYFUNCTION("""COMPUTED_VALUE"""),44181.66666666667)</f>
        <v>44181.66667</v>
      </c>
      <c r="B247" s="11">
        <f>IFERROR(__xludf.DUMMYFUNCTION("""COMPUTED_VALUE"""),53.06)</f>
        <v>53.06</v>
      </c>
      <c r="C247" s="12">
        <f>IFERROR(__xludf.DUMMYFUNCTION("""COMPUTED_VALUE"""),44181.66666666667)</f>
        <v>44181.66667</v>
      </c>
      <c r="D247" s="11">
        <f>IFERROR(__xludf.DUMMYFUNCTION("""COMPUTED_VALUE"""),219.28)</f>
        <v>219.28</v>
      </c>
      <c r="E247" s="12">
        <f>IFERROR(__xludf.DUMMYFUNCTION("""COMPUTED_VALUE"""),44181.66666666667)</f>
        <v>44181.66667</v>
      </c>
      <c r="F247" s="11">
        <f>IFERROR(__xludf.DUMMYFUNCTION("""COMPUTED_VALUE"""),207.59)</f>
        <v>207.59</v>
      </c>
      <c r="G247" s="12">
        <f>IFERROR(__xludf.DUMMYFUNCTION("""COMPUTED_VALUE"""),44181.66666666667)</f>
        <v>44181.66667</v>
      </c>
      <c r="H247" s="11">
        <f>IFERROR(__xludf.DUMMYFUNCTION("""COMPUTED_VALUE"""),127.81)</f>
        <v>127.81</v>
      </c>
    </row>
    <row r="248" ht="15.75" customHeight="1">
      <c r="A248" s="12">
        <f>IFERROR(__xludf.DUMMYFUNCTION("""COMPUTED_VALUE"""),44182.66666666667)</f>
        <v>44182.66667</v>
      </c>
      <c r="B248" s="11">
        <f>IFERROR(__xludf.DUMMYFUNCTION("""COMPUTED_VALUE"""),53.27)</f>
        <v>53.27</v>
      </c>
      <c r="C248" s="12">
        <f>IFERROR(__xludf.DUMMYFUNCTION("""COMPUTED_VALUE"""),44182.66666666667)</f>
        <v>44182.66667</v>
      </c>
      <c r="D248" s="11">
        <f>IFERROR(__xludf.DUMMYFUNCTION("""COMPUTED_VALUE"""),219.42)</f>
        <v>219.42</v>
      </c>
      <c r="E248" s="12">
        <f>IFERROR(__xludf.DUMMYFUNCTION("""COMPUTED_VALUE"""),44182.66666666667)</f>
        <v>44182.66667</v>
      </c>
      <c r="F248" s="11">
        <f>IFERROR(__xludf.DUMMYFUNCTION("""COMPUTED_VALUE"""),218.63)</f>
        <v>218.63</v>
      </c>
      <c r="G248" s="12">
        <f>IFERROR(__xludf.DUMMYFUNCTION("""COMPUTED_VALUE"""),44182.66666666667)</f>
        <v>44182.66667</v>
      </c>
      <c r="H248" s="11">
        <f>IFERROR(__xludf.DUMMYFUNCTION("""COMPUTED_VALUE"""),128.7)</f>
        <v>128.7</v>
      </c>
    </row>
    <row r="249" ht="15.75" customHeight="1">
      <c r="A249" s="12">
        <f>IFERROR(__xludf.DUMMYFUNCTION("""COMPUTED_VALUE"""),44183.66666666667)</f>
        <v>44183.66667</v>
      </c>
      <c r="B249" s="11">
        <f>IFERROR(__xludf.DUMMYFUNCTION("""COMPUTED_VALUE"""),53.74)</f>
        <v>53.74</v>
      </c>
      <c r="C249" s="12">
        <f>IFERROR(__xludf.DUMMYFUNCTION("""COMPUTED_VALUE"""),44183.66666666667)</f>
        <v>44183.66667</v>
      </c>
      <c r="D249" s="11">
        <f>IFERROR(__xludf.DUMMYFUNCTION("""COMPUTED_VALUE"""),218.59)</f>
        <v>218.59</v>
      </c>
      <c r="E249" s="12">
        <f>IFERROR(__xludf.DUMMYFUNCTION("""COMPUTED_VALUE"""),44183.66666666667)</f>
        <v>44183.66667</v>
      </c>
      <c r="F249" s="11">
        <f>IFERROR(__xludf.DUMMYFUNCTION("""COMPUTED_VALUE"""),231.67)</f>
        <v>231.67</v>
      </c>
      <c r="G249" s="12">
        <f>IFERROR(__xludf.DUMMYFUNCTION("""COMPUTED_VALUE"""),44183.66666666667)</f>
        <v>44183.66667</v>
      </c>
      <c r="H249" s="11">
        <f>IFERROR(__xludf.DUMMYFUNCTION("""COMPUTED_VALUE"""),126.66)</f>
        <v>126.66</v>
      </c>
    </row>
    <row r="250" ht="15.75" customHeight="1">
      <c r="A250" s="12">
        <f>IFERROR(__xludf.DUMMYFUNCTION("""COMPUTED_VALUE"""),44186.66666666667)</f>
        <v>44186.66667</v>
      </c>
      <c r="B250" s="11">
        <f>IFERROR(__xludf.DUMMYFUNCTION("""COMPUTED_VALUE"""),52.81)</f>
        <v>52.81</v>
      </c>
      <c r="C250" s="12">
        <f>IFERROR(__xludf.DUMMYFUNCTION("""COMPUTED_VALUE"""),44186.66666666667)</f>
        <v>44186.66667</v>
      </c>
      <c r="D250" s="11">
        <f>IFERROR(__xludf.DUMMYFUNCTION("""COMPUTED_VALUE"""),222.59)</f>
        <v>222.59</v>
      </c>
      <c r="E250" s="12">
        <f>IFERROR(__xludf.DUMMYFUNCTION("""COMPUTED_VALUE"""),44186.66666666667)</f>
        <v>44186.66667</v>
      </c>
      <c r="F250" s="11">
        <f>IFERROR(__xludf.DUMMYFUNCTION("""COMPUTED_VALUE"""),216.62)</f>
        <v>216.62</v>
      </c>
      <c r="G250" s="12">
        <f>IFERROR(__xludf.DUMMYFUNCTION("""COMPUTED_VALUE"""),44186.66666666667)</f>
        <v>44186.66667</v>
      </c>
      <c r="H250" s="11">
        <f>IFERROR(__xludf.DUMMYFUNCTION("""COMPUTED_VALUE"""),128.23)</f>
        <v>128.23</v>
      </c>
    </row>
    <row r="251" ht="15.75" customHeight="1">
      <c r="A251" s="12">
        <f>IFERROR(__xludf.DUMMYFUNCTION("""COMPUTED_VALUE"""),44187.66666666667)</f>
        <v>44187.66667</v>
      </c>
      <c r="B251" s="11">
        <f>IFERROR(__xludf.DUMMYFUNCTION("""COMPUTED_VALUE"""),52.76)</f>
        <v>52.76</v>
      </c>
      <c r="C251" s="12">
        <f>IFERROR(__xludf.DUMMYFUNCTION("""COMPUTED_VALUE"""),44187.66666666667)</f>
        <v>44187.66667</v>
      </c>
      <c r="D251" s="11">
        <f>IFERROR(__xludf.DUMMYFUNCTION("""COMPUTED_VALUE"""),223.94)</f>
        <v>223.94</v>
      </c>
      <c r="E251" s="12">
        <f>IFERROR(__xludf.DUMMYFUNCTION("""COMPUTED_VALUE"""),44187.66666666667)</f>
        <v>44187.66667</v>
      </c>
      <c r="F251" s="11">
        <f>IFERROR(__xludf.DUMMYFUNCTION("""COMPUTED_VALUE"""),213.45)</f>
        <v>213.45</v>
      </c>
      <c r="G251" s="12">
        <f>IFERROR(__xludf.DUMMYFUNCTION("""COMPUTED_VALUE"""),44187.66666666667)</f>
        <v>44187.66667</v>
      </c>
      <c r="H251" s="11">
        <f>IFERROR(__xludf.DUMMYFUNCTION("""COMPUTED_VALUE"""),131.88)</f>
        <v>131.88</v>
      </c>
    </row>
    <row r="252" ht="15.75" customHeight="1">
      <c r="A252" s="12">
        <f>IFERROR(__xludf.DUMMYFUNCTION("""COMPUTED_VALUE"""),44188.66666666667)</f>
        <v>44188.66667</v>
      </c>
      <c r="B252" s="11">
        <f>IFERROR(__xludf.DUMMYFUNCTION("""COMPUTED_VALUE"""),53.08)</f>
        <v>53.08</v>
      </c>
      <c r="C252" s="12">
        <f>IFERROR(__xludf.DUMMYFUNCTION("""COMPUTED_VALUE"""),44188.66666666667)</f>
        <v>44188.66667</v>
      </c>
      <c r="D252" s="11">
        <f>IFERROR(__xludf.DUMMYFUNCTION("""COMPUTED_VALUE"""),221.02)</f>
        <v>221.02</v>
      </c>
      <c r="E252" s="12">
        <f>IFERROR(__xludf.DUMMYFUNCTION("""COMPUTED_VALUE"""),44188.66666666667)</f>
        <v>44188.66667</v>
      </c>
      <c r="F252" s="11">
        <f>IFERROR(__xludf.DUMMYFUNCTION("""COMPUTED_VALUE"""),215.33)</f>
        <v>215.33</v>
      </c>
      <c r="G252" s="12">
        <f>IFERROR(__xludf.DUMMYFUNCTION("""COMPUTED_VALUE"""),44188.66666666667)</f>
        <v>44188.66667</v>
      </c>
      <c r="H252" s="11">
        <f>IFERROR(__xludf.DUMMYFUNCTION("""COMPUTED_VALUE"""),130.96)</f>
        <v>130.96</v>
      </c>
    </row>
    <row r="253" ht="15.75" customHeight="1">
      <c r="A253" s="12">
        <f>IFERROR(__xludf.DUMMYFUNCTION("""COMPUTED_VALUE"""),44189.54166666667)</f>
        <v>44189.54167</v>
      </c>
      <c r="B253" s="11">
        <f>IFERROR(__xludf.DUMMYFUNCTION("""COMPUTED_VALUE"""),53.44)</f>
        <v>53.44</v>
      </c>
      <c r="C253" s="12">
        <f>IFERROR(__xludf.DUMMYFUNCTION("""COMPUTED_VALUE"""),44189.54166666667)</f>
        <v>44189.54167</v>
      </c>
      <c r="D253" s="11">
        <f>IFERROR(__xludf.DUMMYFUNCTION("""COMPUTED_VALUE"""),222.75)</f>
        <v>222.75</v>
      </c>
      <c r="E253" s="12">
        <f>IFERROR(__xludf.DUMMYFUNCTION("""COMPUTED_VALUE"""),44189.54166666667)</f>
        <v>44189.54167</v>
      </c>
      <c r="F253" s="11">
        <f>IFERROR(__xludf.DUMMYFUNCTION("""COMPUTED_VALUE"""),220.59)</f>
        <v>220.59</v>
      </c>
      <c r="G253" s="12">
        <f>IFERROR(__xludf.DUMMYFUNCTION("""COMPUTED_VALUE"""),44189.54166666667)</f>
        <v>44189.54167</v>
      </c>
      <c r="H253" s="11">
        <f>IFERROR(__xludf.DUMMYFUNCTION("""COMPUTED_VALUE"""),131.97)</f>
        <v>131.97</v>
      </c>
    </row>
    <row r="254" ht="15.75" customHeight="1">
      <c r="A254" s="12">
        <f>IFERROR(__xludf.DUMMYFUNCTION("""COMPUTED_VALUE"""),44193.66666666667)</f>
        <v>44193.66667</v>
      </c>
      <c r="B254" s="11">
        <f>IFERROR(__xludf.DUMMYFUNCTION("""COMPUTED_VALUE"""),54.16)</f>
        <v>54.16</v>
      </c>
      <c r="C254" s="12">
        <f>IFERROR(__xludf.DUMMYFUNCTION("""COMPUTED_VALUE"""),44193.66666666667)</f>
        <v>44193.66667</v>
      </c>
      <c r="D254" s="11">
        <f>IFERROR(__xludf.DUMMYFUNCTION("""COMPUTED_VALUE"""),224.96)</f>
        <v>224.96</v>
      </c>
      <c r="E254" s="12">
        <f>IFERROR(__xludf.DUMMYFUNCTION("""COMPUTED_VALUE"""),44193.66666666667)</f>
        <v>44193.66667</v>
      </c>
      <c r="F254" s="11">
        <f>IFERROR(__xludf.DUMMYFUNCTION("""COMPUTED_VALUE"""),221.23)</f>
        <v>221.23</v>
      </c>
      <c r="G254" s="12">
        <f>IFERROR(__xludf.DUMMYFUNCTION("""COMPUTED_VALUE"""),44193.66666666667)</f>
        <v>44193.66667</v>
      </c>
      <c r="H254" s="11">
        <f>IFERROR(__xludf.DUMMYFUNCTION("""COMPUTED_VALUE"""),136.69)</f>
        <v>136.69</v>
      </c>
    </row>
    <row r="255" ht="15.75" customHeight="1">
      <c r="A255" s="12">
        <f>IFERROR(__xludf.DUMMYFUNCTION("""COMPUTED_VALUE"""),44194.66666666667)</f>
        <v>44194.66667</v>
      </c>
      <c r="B255" s="11">
        <f>IFERROR(__xludf.DUMMYFUNCTION("""COMPUTED_VALUE"""),54.13)</f>
        <v>54.13</v>
      </c>
      <c r="C255" s="12">
        <f>IFERROR(__xludf.DUMMYFUNCTION("""COMPUTED_VALUE"""),44194.66666666667)</f>
        <v>44194.66667</v>
      </c>
      <c r="D255" s="11">
        <f>IFERROR(__xludf.DUMMYFUNCTION("""COMPUTED_VALUE"""),224.15)</f>
        <v>224.15</v>
      </c>
      <c r="E255" s="12">
        <f>IFERROR(__xludf.DUMMYFUNCTION("""COMPUTED_VALUE"""),44194.66666666667)</f>
        <v>44194.66667</v>
      </c>
      <c r="F255" s="11">
        <f>IFERROR(__xludf.DUMMYFUNCTION("""COMPUTED_VALUE"""),222.0)</f>
        <v>222</v>
      </c>
      <c r="G255" s="12">
        <f>IFERROR(__xludf.DUMMYFUNCTION("""COMPUTED_VALUE"""),44194.66666666667)</f>
        <v>44194.66667</v>
      </c>
      <c r="H255" s="11">
        <f>IFERROR(__xludf.DUMMYFUNCTION("""COMPUTED_VALUE"""),134.87)</f>
        <v>134.87</v>
      </c>
    </row>
    <row r="256" ht="15.75" customHeight="1">
      <c r="A256" s="12">
        <f>IFERROR(__xludf.DUMMYFUNCTION("""COMPUTED_VALUE"""),44195.66666666667)</f>
        <v>44195.66667</v>
      </c>
      <c r="B256" s="11">
        <f>IFERROR(__xludf.DUMMYFUNCTION("""COMPUTED_VALUE"""),54.44)</f>
        <v>54.44</v>
      </c>
      <c r="C256" s="12">
        <f>IFERROR(__xludf.DUMMYFUNCTION("""COMPUTED_VALUE"""),44195.66666666667)</f>
        <v>44195.66667</v>
      </c>
      <c r="D256" s="11">
        <f>IFERROR(__xludf.DUMMYFUNCTION("""COMPUTED_VALUE"""),221.68)</f>
        <v>221.68</v>
      </c>
      <c r="E256" s="12">
        <f>IFERROR(__xludf.DUMMYFUNCTION("""COMPUTED_VALUE"""),44195.66666666667)</f>
        <v>44195.66667</v>
      </c>
      <c r="F256" s="11">
        <f>IFERROR(__xludf.DUMMYFUNCTION("""COMPUTED_VALUE"""),231.59)</f>
        <v>231.59</v>
      </c>
      <c r="G256" s="12">
        <f>IFERROR(__xludf.DUMMYFUNCTION("""COMPUTED_VALUE"""),44195.66666666667)</f>
        <v>44195.66667</v>
      </c>
      <c r="H256" s="11">
        <f>IFERROR(__xludf.DUMMYFUNCTION("""COMPUTED_VALUE"""),133.72)</f>
        <v>133.72</v>
      </c>
    </row>
    <row r="257" ht="15.75" customHeight="1">
      <c r="A257" s="12">
        <f>IFERROR(__xludf.DUMMYFUNCTION("""COMPUTED_VALUE"""),44196.66666666667)</f>
        <v>44196.66667</v>
      </c>
      <c r="B257" s="11">
        <f>IFERROR(__xludf.DUMMYFUNCTION("""COMPUTED_VALUE"""),54.84)</f>
        <v>54.84</v>
      </c>
      <c r="C257" s="12">
        <f>IFERROR(__xludf.DUMMYFUNCTION("""COMPUTED_VALUE"""),44196.66666666667)</f>
        <v>44196.66667</v>
      </c>
      <c r="D257" s="11">
        <f>IFERROR(__xludf.DUMMYFUNCTION("""COMPUTED_VALUE"""),222.42)</f>
        <v>222.42</v>
      </c>
      <c r="E257" s="12">
        <f>IFERROR(__xludf.DUMMYFUNCTION("""COMPUTED_VALUE"""),44196.66666666667)</f>
        <v>44196.66667</v>
      </c>
      <c r="F257" s="11">
        <f>IFERROR(__xludf.DUMMYFUNCTION("""COMPUTED_VALUE"""),235.22)</f>
        <v>235.22</v>
      </c>
      <c r="G257" s="12">
        <f>IFERROR(__xludf.DUMMYFUNCTION("""COMPUTED_VALUE"""),44196.66666666667)</f>
        <v>44196.66667</v>
      </c>
      <c r="H257" s="11">
        <f>IFERROR(__xludf.DUMMYFUNCTION("""COMPUTED_VALUE"""),132.69)</f>
        <v>132.69</v>
      </c>
    </row>
    <row r="258" ht="15.75" customHeight="1">
      <c r="A258" s="12">
        <f>IFERROR(__xludf.DUMMYFUNCTION("""COMPUTED_VALUE"""),44200.66666666667)</f>
        <v>44200.66667</v>
      </c>
      <c r="B258" s="11">
        <f>IFERROR(__xludf.DUMMYFUNCTION("""COMPUTED_VALUE"""),52.76)</f>
        <v>52.76</v>
      </c>
      <c r="C258" s="12">
        <f>IFERROR(__xludf.DUMMYFUNCTION("""COMPUTED_VALUE"""),44200.66666666667)</f>
        <v>44200.66667</v>
      </c>
      <c r="D258" s="11">
        <f>IFERROR(__xludf.DUMMYFUNCTION("""COMPUTED_VALUE"""),217.69)</f>
        <v>217.69</v>
      </c>
      <c r="E258" s="12">
        <f>IFERROR(__xludf.DUMMYFUNCTION("""COMPUTED_VALUE"""),44200.66666666667)</f>
        <v>44200.66667</v>
      </c>
      <c r="F258" s="11">
        <f>IFERROR(__xludf.DUMMYFUNCTION("""COMPUTED_VALUE"""),243.26)</f>
        <v>243.26</v>
      </c>
      <c r="G258" s="12">
        <f>IFERROR(__xludf.DUMMYFUNCTION("""COMPUTED_VALUE"""),44200.66666666667)</f>
        <v>44200.66667</v>
      </c>
      <c r="H258" s="11">
        <f>IFERROR(__xludf.DUMMYFUNCTION("""COMPUTED_VALUE"""),129.41)</f>
        <v>129.41</v>
      </c>
    </row>
    <row r="259" ht="15.75" customHeight="1">
      <c r="A259" s="12">
        <f>IFERROR(__xludf.DUMMYFUNCTION("""COMPUTED_VALUE"""),44201.66666666667)</f>
        <v>44201.66667</v>
      </c>
      <c r="B259" s="11">
        <f>IFERROR(__xludf.DUMMYFUNCTION("""COMPUTED_VALUE"""),52.18)</f>
        <v>52.18</v>
      </c>
      <c r="C259" s="12">
        <f>IFERROR(__xludf.DUMMYFUNCTION("""COMPUTED_VALUE"""),44201.66666666667)</f>
        <v>44201.66667</v>
      </c>
      <c r="D259" s="11">
        <f>IFERROR(__xludf.DUMMYFUNCTION("""COMPUTED_VALUE"""),217.9)</f>
        <v>217.9</v>
      </c>
      <c r="E259" s="12">
        <f>IFERROR(__xludf.DUMMYFUNCTION("""COMPUTED_VALUE"""),44201.66666666667)</f>
        <v>44201.66667</v>
      </c>
      <c r="F259" s="11">
        <f>IFERROR(__xludf.DUMMYFUNCTION("""COMPUTED_VALUE"""),245.04)</f>
        <v>245.04</v>
      </c>
      <c r="G259" s="12">
        <f>IFERROR(__xludf.DUMMYFUNCTION("""COMPUTED_VALUE"""),44201.66666666667)</f>
        <v>44201.66667</v>
      </c>
      <c r="H259" s="11">
        <f>IFERROR(__xludf.DUMMYFUNCTION("""COMPUTED_VALUE"""),131.01)</f>
        <v>131.01</v>
      </c>
    </row>
    <row r="260" ht="15.75" customHeight="1">
      <c r="A260" s="12">
        <f>IFERROR(__xludf.DUMMYFUNCTION("""COMPUTED_VALUE"""),44202.66666666667)</f>
        <v>44202.66667</v>
      </c>
      <c r="B260" s="11">
        <f>IFERROR(__xludf.DUMMYFUNCTION("""COMPUTED_VALUE"""),50.52)</f>
        <v>50.52</v>
      </c>
      <c r="C260" s="12">
        <f>IFERROR(__xludf.DUMMYFUNCTION("""COMPUTED_VALUE"""),44202.66666666667)</f>
        <v>44202.66667</v>
      </c>
      <c r="D260" s="11">
        <f>IFERROR(__xludf.DUMMYFUNCTION("""COMPUTED_VALUE"""),212.25)</f>
        <v>212.25</v>
      </c>
      <c r="E260" s="12">
        <f>IFERROR(__xludf.DUMMYFUNCTION("""COMPUTED_VALUE"""),44202.66666666667)</f>
        <v>44202.66667</v>
      </c>
      <c r="F260" s="11">
        <f>IFERROR(__xludf.DUMMYFUNCTION("""COMPUTED_VALUE"""),251.99)</f>
        <v>251.99</v>
      </c>
      <c r="G260" s="12">
        <f>IFERROR(__xludf.DUMMYFUNCTION("""COMPUTED_VALUE"""),44202.66666666667)</f>
        <v>44202.66667</v>
      </c>
      <c r="H260" s="11">
        <f>IFERROR(__xludf.DUMMYFUNCTION("""COMPUTED_VALUE"""),126.6)</f>
        <v>126.6</v>
      </c>
    </row>
    <row r="261" ht="15.75" customHeight="1">
      <c r="A261" s="12">
        <f>IFERROR(__xludf.DUMMYFUNCTION("""COMPUTED_VALUE"""),44203.66666666667)</f>
        <v>44203.66667</v>
      </c>
      <c r="B261" s="11">
        <f>IFERROR(__xludf.DUMMYFUNCTION("""COMPUTED_VALUE"""),49.96)</f>
        <v>49.96</v>
      </c>
      <c r="C261" s="12">
        <f>IFERROR(__xludf.DUMMYFUNCTION("""COMPUTED_VALUE"""),44203.66666666667)</f>
        <v>44203.66667</v>
      </c>
      <c r="D261" s="11">
        <f>IFERROR(__xludf.DUMMYFUNCTION("""COMPUTED_VALUE"""),218.29)</f>
        <v>218.29</v>
      </c>
      <c r="E261" s="12">
        <f>IFERROR(__xludf.DUMMYFUNCTION("""COMPUTED_VALUE"""),44203.66666666667)</f>
        <v>44203.66667</v>
      </c>
      <c r="F261" s="11">
        <f>IFERROR(__xludf.DUMMYFUNCTION("""COMPUTED_VALUE"""),272.01)</f>
        <v>272.01</v>
      </c>
      <c r="G261" s="12">
        <f>IFERROR(__xludf.DUMMYFUNCTION("""COMPUTED_VALUE"""),44203.66666666667)</f>
        <v>44203.66667</v>
      </c>
      <c r="H261" s="11">
        <f>IFERROR(__xludf.DUMMYFUNCTION("""COMPUTED_VALUE"""),130.92)</f>
        <v>130.92</v>
      </c>
    </row>
    <row r="262" ht="15.75" customHeight="1">
      <c r="A262" s="12">
        <f>IFERROR(__xludf.DUMMYFUNCTION("""COMPUTED_VALUE"""),44204.66666666667)</f>
        <v>44204.66667</v>
      </c>
      <c r="B262" s="11">
        <f>IFERROR(__xludf.DUMMYFUNCTION("""COMPUTED_VALUE"""),51.08)</f>
        <v>51.08</v>
      </c>
      <c r="C262" s="12">
        <f>IFERROR(__xludf.DUMMYFUNCTION("""COMPUTED_VALUE"""),44204.66666666667)</f>
        <v>44204.66667</v>
      </c>
      <c r="D262" s="11">
        <f>IFERROR(__xludf.DUMMYFUNCTION("""COMPUTED_VALUE"""),219.62)</f>
        <v>219.62</v>
      </c>
      <c r="E262" s="12">
        <f>IFERROR(__xludf.DUMMYFUNCTION("""COMPUTED_VALUE"""),44204.66666666667)</f>
        <v>44204.66667</v>
      </c>
      <c r="F262" s="11">
        <f>IFERROR(__xludf.DUMMYFUNCTION("""COMPUTED_VALUE"""),293.34)</f>
        <v>293.34</v>
      </c>
      <c r="G262" s="12">
        <f>IFERROR(__xludf.DUMMYFUNCTION("""COMPUTED_VALUE"""),44204.66666666667)</f>
        <v>44204.66667</v>
      </c>
      <c r="H262" s="11">
        <f>IFERROR(__xludf.DUMMYFUNCTION("""COMPUTED_VALUE"""),132.05)</f>
        <v>132.05</v>
      </c>
    </row>
    <row r="263" ht="15.75" customHeight="1">
      <c r="A263" s="12">
        <f>IFERROR(__xludf.DUMMYFUNCTION("""COMPUTED_VALUE"""),44207.66666666667)</f>
        <v>44207.66667</v>
      </c>
      <c r="B263" s="11">
        <f>IFERROR(__xludf.DUMMYFUNCTION("""COMPUTED_VALUE"""),50.2)</f>
        <v>50.2</v>
      </c>
      <c r="C263" s="12">
        <f>IFERROR(__xludf.DUMMYFUNCTION("""COMPUTED_VALUE"""),44207.66666666667)</f>
        <v>44207.66667</v>
      </c>
      <c r="D263" s="11">
        <f>IFERROR(__xludf.DUMMYFUNCTION("""COMPUTED_VALUE"""),217.49)</f>
        <v>217.49</v>
      </c>
      <c r="E263" s="12">
        <f>IFERROR(__xludf.DUMMYFUNCTION("""COMPUTED_VALUE"""),44207.66666666667)</f>
        <v>44207.66667</v>
      </c>
      <c r="F263" s="11">
        <f>IFERROR(__xludf.DUMMYFUNCTION("""COMPUTED_VALUE"""),270.4)</f>
        <v>270.4</v>
      </c>
      <c r="G263" s="12">
        <f>IFERROR(__xludf.DUMMYFUNCTION("""COMPUTED_VALUE"""),44207.66666666667)</f>
        <v>44207.66667</v>
      </c>
      <c r="H263" s="11">
        <f>IFERROR(__xludf.DUMMYFUNCTION("""COMPUTED_VALUE"""),128.98)</f>
        <v>128.98</v>
      </c>
    </row>
    <row r="264" ht="15.75" customHeight="1">
      <c r="A264" s="12">
        <f>IFERROR(__xludf.DUMMYFUNCTION("""COMPUTED_VALUE"""),44208.66666666667)</f>
        <v>44208.66667</v>
      </c>
      <c r="B264" s="11">
        <f>IFERROR(__xludf.DUMMYFUNCTION("""COMPUTED_VALUE"""),50.11)</f>
        <v>50.11</v>
      </c>
      <c r="C264" s="12">
        <f>IFERROR(__xludf.DUMMYFUNCTION("""COMPUTED_VALUE"""),44208.66666666667)</f>
        <v>44208.66667</v>
      </c>
      <c r="D264" s="11">
        <f>IFERROR(__xludf.DUMMYFUNCTION("""COMPUTED_VALUE"""),214.93)</f>
        <v>214.93</v>
      </c>
      <c r="E264" s="12">
        <f>IFERROR(__xludf.DUMMYFUNCTION("""COMPUTED_VALUE"""),44208.66666666667)</f>
        <v>44208.66667</v>
      </c>
      <c r="F264" s="11">
        <f>IFERROR(__xludf.DUMMYFUNCTION("""COMPUTED_VALUE"""),283.15)</f>
        <v>283.15</v>
      </c>
      <c r="G264" s="12">
        <f>IFERROR(__xludf.DUMMYFUNCTION("""COMPUTED_VALUE"""),44208.66666666667)</f>
        <v>44208.66667</v>
      </c>
      <c r="H264" s="11">
        <f>IFERROR(__xludf.DUMMYFUNCTION("""COMPUTED_VALUE"""),128.8)</f>
        <v>128.8</v>
      </c>
    </row>
    <row r="265" ht="15.75" customHeight="1">
      <c r="A265" s="12">
        <f>IFERROR(__xludf.DUMMYFUNCTION("""COMPUTED_VALUE"""),44209.66666666667)</f>
        <v>44209.66667</v>
      </c>
      <c r="B265" s="11">
        <f>IFERROR(__xludf.DUMMYFUNCTION("""COMPUTED_VALUE"""),50.16)</f>
        <v>50.16</v>
      </c>
      <c r="C265" s="12">
        <f>IFERROR(__xludf.DUMMYFUNCTION("""COMPUTED_VALUE"""),44209.66666666667)</f>
        <v>44209.66667</v>
      </c>
      <c r="D265" s="11">
        <f>IFERROR(__xludf.DUMMYFUNCTION("""COMPUTED_VALUE"""),216.34)</f>
        <v>216.34</v>
      </c>
      <c r="E265" s="12">
        <f>IFERROR(__xludf.DUMMYFUNCTION("""COMPUTED_VALUE"""),44209.66666666667)</f>
        <v>44209.66667</v>
      </c>
      <c r="F265" s="11">
        <f>IFERROR(__xludf.DUMMYFUNCTION("""COMPUTED_VALUE"""),284.8)</f>
        <v>284.8</v>
      </c>
      <c r="G265" s="12">
        <f>IFERROR(__xludf.DUMMYFUNCTION("""COMPUTED_VALUE"""),44209.66666666667)</f>
        <v>44209.66667</v>
      </c>
      <c r="H265" s="11">
        <f>IFERROR(__xludf.DUMMYFUNCTION("""COMPUTED_VALUE"""),130.89)</f>
        <v>130.89</v>
      </c>
    </row>
    <row r="266" ht="15.75" customHeight="1">
      <c r="A266" s="12">
        <f>IFERROR(__xludf.DUMMYFUNCTION("""COMPUTED_VALUE"""),44210.66666666667)</f>
        <v>44210.66667</v>
      </c>
      <c r="B266" s="11">
        <f>IFERROR(__xludf.DUMMYFUNCTION("""COMPUTED_VALUE"""),49.23)</f>
        <v>49.23</v>
      </c>
      <c r="C266" s="12">
        <f>IFERROR(__xludf.DUMMYFUNCTION("""COMPUTED_VALUE"""),44210.66666666667)</f>
        <v>44210.66667</v>
      </c>
      <c r="D266" s="11">
        <f>IFERROR(__xludf.DUMMYFUNCTION("""COMPUTED_VALUE"""),213.02)</f>
        <v>213.02</v>
      </c>
      <c r="E266" s="12">
        <f>IFERROR(__xludf.DUMMYFUNCTION("""COMPUTED_VALUE"""),44210.66666666667)</f>
        <v>44210.66667</v>
      </c>
      <c r="F266" s="11">
        <f>IFERROR(__xludf.DUMMYFUNCTION("""COMPUTED_VALUE"""),281.67)</f>
        <v>281.67</v>
      </c>
      <c r="G266" s="12">
        <f>IFERROR(__xludf.DUMMYFUNCTION("""COMPUTED_VALUE"""),44210.66666666667)</f>
        <v>44210.66667</v>
      </c>
      <c r="H266" s="11">
        <f>IFERROR(__xludf.DUMMYFUNCTION("""COMPUTED_VALUE"""),128.91)</f>
        <v>128.91</v>
      </c>
    </row>
    <row r="267" ht="15.75" customHeight="1">
      <c r="A267" s="12">
        <f>IFERROR(__xludf.DUMMYFUNCTION("""COMPUTED_VALUE"""),44211.66666666667)</f>
        <v>44211.66667</v>
      </c>
      <c r="B267" s="11">
        <f>IFERROR(__xludf.DUMMYFUNCTION("""COMPUTED_VALUE"""),48.7)</f>
        <v>48.7</v>
      </c>
      <c r="C267" s="12">
        <f>IFERROR(__xludf.DUMMYFUNCTION("""COMPUTED_VALUE"""),44211.66666666667)</f>
        <v>44211.66667</v>
      </c>
      <c r="D267" s="11">
        <f>IFERROR(__xludf.DUMMYFUNCTION("""COMPUTED_VALUE"""),212.65)</f>
        <v>212.65</v>
      </c>
      <c r="E267" s="12">
        <f>IFERROR(__xludf.DUMMYFUNCTION("""COMPUTED_VALUE"""),44211.66666666667)</f>
        <v>44211.66667</v>
      </c>
      <c r="F267" s="11">
        <f>IFERROR(__xludf.DUMMYFUNCTION("""COMPUTED_VALUE"""),275.39)</f>
        <v>275.39</v>
      </c>
      <c r="G267" s="12">
        <f>IFERROR(__xludf.DUMMYFUNCTION("""COMPUTED_VALUE"""),44211.66666666667)</f>
        <v>44211.66667</v>
      </c>
      <c r="H267" s="11">
        <f>IFERROR(__xludf.DUMMYFUNCTION("""COMPUTED_VALUE"""),127.14)</f>
        <v>127.14</v>
      </c>
    </row>
    <row r="268" ht="15.75" customHeight="1">
      <c r="A268" s="12">
        <f>IFERROR(__xludf.DUMMYFUNCTION("""COMPUTED_VALUE"""),44215.66666666667)</f>
        <v>44215.66667</v>
      </c>
      <c r="B268" s="11">
        <f>IFERROR(__xludf.DUMMYFUNCTION("""COMPUTED_VALUE"""),48.51)</f>
        <v>48.51</v>
      </c>
      <c r="C268" s="12">
        <f>IFERROR(__xludf.DUMMYFUNCTION("""COMPUTED_VALUE"""),44215.66666666667)</f>
        <v>44215.66667</v>
      </c>
      <c r="D268" s="11">
        <f>IFERROR(__xludf.DUMMYFUNCTION("""COMPUTED_VALUE"""),216.44)</f>
        <v>216.44</v>
      </c>
      <c r="E268" s="12">
        <f>IFERROR(__xludf.DUMMYFUNCTION("""COMPUTED_VALUE"""),44215.66666666667)</f>
        <v>44215.66667</v>
      </c>
      <c r="F268" s="11">
        <f>IFERROR(__xludf.DUMMYFUNCTION("""COMPUTED_VALUE"""),281.52)</f>
        <v>281.52</v>
      </c>
      <c r="G268" s="12">
        <f>IFERROR(__xludf.DUMMYFUNCTION("""COMPUTED_VALUE"""),44215.66666666667)</f>
        <v>44215.66667</v>
      </c>
      <c r="H268" s="11">
        <f>IFERROR(__xludf.DUMMYFUNCTION("""COMPUTED_VALUE"""),127.83)</f>
        <v>127.83</v>
      </c>
    </row>
    <row r="269" ht="15.75" customHeight="1">
      <c r="A269" s="12">
        <f>IFERROR(__xludf.DUMMYFUNCTION("""COMPUTED_VALUE"""),44216.66666666667)</f>
        <v>44216.66667</v>
      </c>
      <c r="B269" s="11">
        <f>IFERROR(__xludf.DUMMYFUNCTION("""COMPUTED_VALUE"""),48.68)</f>
        <v>48.68</v>
      </c>
      <c r="C269" s="12">
        <f>IFERROR(__xludf.DUMMYFUNCTION("""COMPUTED_VALUE"""),44216.66666666667)</f>
        <v>44216.66667</v>
      </c>
      <c r="D269" s="11">
        <f>IFERROR(__xludf.DUMMYFUNCTION("""COMPUTED_VALUE"""),224.34)</f>
        <v>224.34</v>
      </c>
      <c r="E269" s="12">
        <f>IFERROR(__xludf.DUMMYFUNCTION("""COMPUTED_VALUE"""),44216.66666666667)</f>
        <v>44216.66667</v>
      </c>
      <c r="F269" s="11">
        <f>IFERROR(__xludf.DUMMYFUNCTION("""COMPUTED_VALUE"""),283.48)</f>
        <v>283.48</v>
      </c>
      <c r="G269" s="12">
        <f>IFERROR(__xludf.DUMMYFUNCTION("""COMPUTED_VALUE"""),44216.66666666667)</f>
        <v>44216.66667</v>
      </c>
      <c r="H269" s="11">
        <f>IFERROR(__xludf.DUMMYFUNCTION("""COMPUTED_VALUE"""),132.03)</f>
        <v>132.03</v>
      </c>
    </row>
    <row r="270" ht="15.75" customHeight="1">
      <c r="A270" s="12">
        <f>IFERROR(__xludf.DUMMYFUNCTION("""COMPUTED_VALUE"""),44217.66666666667)</f>
        <v>44217.66667</v>
      </c>
      <c r="B270" s="11">
        <f>IFERROR(__xludf.DUMMYFUNCTION("""COMPUTED_VALUE"""),48.95)</f>
        <v>48.95</v>
      </c>
      <c r="C270" s="12">
        <f>IFERROR(__xludf.DUMMYFUNCTION("""COMPUTED_VALUE"""),44217.66666666667)</f>
        <v>44217.66667</v>
      </c>
      <c r="D270" s="11">
        <f>IFERROR(__xludf.DUMMYFUNCTION("""COMPUTED_VALUE"""),224.97)</f>
        <v>224.97</v>
      </c>
      <c r="E270" s="12">
        <f>IFERROR(__xludf.DUMMYFUNCTION("""COMPUTED_VALUE"""),44217.66666666667)</f>
        <v>44217.66667</v>
      </c>
      <c r="F270" s="11">
        <f>IFERROR(__xludf.DUMMYFUNCTION("""COMPUTED_VALUE"""),281.66)</f>
        <v>281.66</v>
      </c>
      <c r="G270" s="12">
        <f>IFERROR(__xludf.DUMMYFUNCTION("""COMPUTED_VALUE"""),44217.66666666667)</f>
        <v>44217.66667</v>
      </c>
      <c r="H270" s="11">
        <f>IFERROR(__xludf.DUMMYFUNCTION("""COMPUTED_VALUE"""),136.87)</f>
        <v>136.87</v>
      </c>
    </row>
    <row r="271" ht="15.75" customHeight="1">
      <c r="A271" s="12">
        <f>IFERROR(__xludf.DUMMYFUNCTION("""COMPUTED_VALUE"""),44218.66666666667)</f>
        <v>44218.66667</v>
      </c>
      <c r="B271" s="11">
        <f>IFERROR(__xludf.DUMMYFUNCTION("""COMPUTED_VALUE"""),48.49)</f>
        <v>48.49</v>
      </c>
      <c r="C271" s="12">
        <f>IFERROR(__xludf.DUMMYFUNCTION("""COMPUTED_VALUE"""),44218.66666666667)</f>
        <v>44218.66667</v>
      </c>
      <c r="D271" s="11">
        <f>IFERROR(__xludf.DUMMYFUNCTION("""COMPUTED_VALUE"""),225.95)</f>
        <v>225.95</v>
      </c>
      <c r="E271" s="12">
        <f>IFERROR(__xludf.DUMMYFUNCTION("""COMPUTED_VALUE"""),44218.66666666667)</f>
        <v>44218.66667</v>
      </c>
      <c r="F271" s="11">
        <f>IFERROR(__xludf.DUMMYFUNCTION("""COMPUTED_VALUE"""),282.21)</f>
        <v>282.21</v>
      </c>
      <c r="G271" s="12">
        <f>IFERROR(__xludf.DUMMYFUNCTION("""COMPUTED_VALUE"""),44218.66666666667)</f>
        <v>44218.66667</v>
      </c>
      <c r="H271" s="11">
        <f>IFERROR(__xludf.DUMMYFUNCTION("""COMPUTED_VALUE"""),139.07)</f>
        <v>139.07</v>
      </c>
    </row>
    <row r="272" ht="15.75" customHeight="1">
      <c r="A272" s="12">
        <f>IFERROR(__xludf.DUMMYFUNCTION("""COMPUTED_VALUE"""),44221.66666666667)</f>
        <v>44221.66667</v>
      </c>
      <c r="B272" s="11">
        <f>IFERROR(__xludf.DUMMYFUNCTION("""COMPUTED_VALUE"""),48.78)</f>
        <v>48.78</v>
      </c>
      <c r="C272" s="12">
        <f>IFERROR(__xludf.DUMMYFUNCTION("""COMPUTED_VALUE"""),44221.66666666667)</f>
        <v>44221.66667</v>
      </c>
      <c r="D272" s="11">
        <f>IFERROR(__xludf.DUMMYFUNCTION("""COMPUTED_VALUE"""),229.53)</f>
        <v>229.53</v>
      </c>
      <c r="E272" s="12">
        <f>IFERROR(__xludf.DUMMYFUNCTION("""COMPUTED_VALUE"""),44221.66666666667)</f>
        <v>44221.66667</v>
      </c>
      <c r="F272" s="11">
        <f>IFERROR(__xludf.DUMMYFUNCTION("""COMPUTED_VALUE"""),293.6)</f>
        <v>293.6</v>
      </c>
      <c r="G272" s="12">
        <f>IFERROR(__xludf.DUMMYFUNCTION("""COMPUTED_VALUE"""),44221.66666666667)</f>
        <v>44221.66667</v>
      </c>
      <c r="H272" s="11">
        <f>IFERROR(__xludf.DUMMYFUNCTION("""COMPUTED_VALUE"""),142.92)</f>
        <v>142.92</v>
      </c>
    </row>
    <row r="273" ht="15.75" customHeight="1">
      <c r="A273" s="12">
        <f>IFERROR(__xludf.DUMMYFUNCTION("""COMPUTED_VALUE"""),44222.66666666667)</f>
        <v>44222.66667</v>
      </c>
      <c r="B273" s="11">
        <f>IFERROR(__xludf.DUMMYFUNCTION("""COMPUTED_VALUE"""),49.29)</f>
        <v>49.29</v>
      </c>
      <c r="C273" s="12">
        <f>IFERROR(__xludf.DUMMYFUNCTION("""COMPUTED_VALUE"""),44222.66666666667)</f>
        <v>44222.66667</v>
      </c>
      <c r="D273" s="11">
        <f>IFERROR(__xludf.DUMMYFUNCTION("""COMPUTED_VALUE"""),232.33)</f>
        <v>232.33</v>
      </c>
      <c r="E273" s="12">
        <f>IFERROR(__xludf.DUMMYFUNCTION("""COMPUTED_VALUE"""),44222.66666666667)</f>
        <v>44222.66667</v>
      </c>
      <c r="F273" s="11">
        <f>IFERROR(__xludf.DUMMYFUNCTION("""COMPUTED_VALUE"""),294.36)</f>
        <v>294.36</v>
      </c>
      <c r="G273" s="12">
        <f>IFERROR(__xludf.DUMMYFUNCTION("""COMPUTED_VALUE"""),44222.66666666667)</f>
        <v>44222.66667</v>
      </c>
      <c r="H273" s="11">
        <f>IFERROR(__xludf.DUMMYFUNCTION("""COMPUTED_VALUE"""),143.16)</f>
        <v>143.16</v>
      </c>
    </row>
    <row r="274" ht="15.75" customHeight="1">
      <c r="A274" s="12">
        <f>IFERROR(__xludf.DUMMYFUNCTION("""COMPUTED_VALUE"""),44223.66666666667)</f>
        <v>44223.66667</v>
      </c>
      <c r="B274" s="11">
        <f>IFERROR(__xludf.DUMMYFUNCTION("""COMPUTED_VALUE"""),48.53)</f>
        <v>48.53</v>
      </c>
      <c r="C274" s="12">
        <f>IFERROR(__xludf.DUMMYFUNCTION("""COMPUTED_VALUE"""),44223.66666666667)</f>
        <v>44223.66667</v>
      </c>
      <c r="D274" s="11">
        <f>IFERROR(__xludf.DUMMYFUNCTION("""COMPUTED_VALUE"""),232.9)</f>
        <v>232.9</v>
      </c>
      <c r="E274" s="12">
        <f>IFERROR(__xludf.DUMMYFUNCTION("""COMPUTED_VALUE"""),44223.66666666667)</f>
        <v>44223.66667</v>
      </c>
      <c r="F274" s="11">
        <f>IFERROR(__xludf.DUMMYFUNCTION("""COMPUTED_VALUE"""),288.05)</f>
        <v>288.05</v>
      </c>
      <c r="G274" s="12">
        <f>IFERROR(__xludf.DUMMYFUNCTION("""COMPUTED_VALUE"""),44223.66666666667)</f>
        <v>44223.66667</v>
      </c>
      <c r="H274" s="11">
        <f>IFERROR(__xludf.DUMMYFUNCTION("""COMPUTED_VALUE"""),142.06)</f>
        <v>142.06</v>
      </c>
    </row>
    <row r="275" ht="15.75" customHeight="1">
      <c r="A275" s="12">
        <f>IFERROR(__xludf.DUMMYFUNCTION("""COMPUTED_VALUE"""),44224.66666666667)</f>
        <v>44224.66667</v>
      </c>
      <c r="B275" s="11">
        <f>IFERROR(__xludf.DUMMYFUNCTION("""COMPUTED_VALUE"""),49.15)</f>
        <v>49.15</v>
      </c>
      <c r="C275" s="12">
        <f>IFERROR(__xludf.DUMMYFUNCTION("""COMPUTED_VALUE"""),44224.66666666667)</f>
        <v>44224.66667</v>
      </c>
      <c r="D275" s="11">
        <f>IFERROR(__xludf.DUMMYFUNCTION("""COMPUTED_VALUE"""),238.93)</f>
        <v>238.93</v>
      </c>
      <c r="E275" s="12">
        <f>IFERROR(__xludf.DUMMYFUNCTION("""COMPUTED_VALUE"""),44224.66666666667)</f>
        <v>44224.66667</v>
      </c>
      <c r="F275" s="11">
        <f>IFERROR(__xludf.DUMMYFUNCTION("""COMPUTED_VALUE"""),278.48)</f>
        <v>278.48</v>
      </c>
      <c r="G275" s="12">
        <f>IFERROR(__xludf.DUMMYFUNCTION("""COMPUTED_VALUE"""),44224.66666666667)</f>
        <v>44224.66667</v>
      </c>
      <c r="H275" s="11">
        <f>IFERROR(__xludf.DUMMYFUNCTION("""COMPUTED_VALUE"""),137.09)</f>
        <v>137.09</v>
      </c>
    </row>
    <row r="276" ht="15.75" customHeight="1">
      <c r="A276" s="12">
        <f>IFERROR(__xludf.DUMMYFUNCTION("""COMPUTED_VALUE"""),44225.66666666667)</f>
        <v>44225.66667</v>
      </c>
      <c r="B276" s="11">
        <f>IFERROR(__xludf.DUMMYFUNCTION("""COMPUTED_VALUE"""),48.15)</f>
        <v>48.15</v>
      </c>
      <c r="C276" s="12">
        <f>IFERROR(__xludf.DUMMYFUNCTION("""COMPUTED_VALUE"""),44225.66666666667)</f>
        <v>44225.66667</v>
      </c>
      <c r="D276" s="11">
        <f>IFERROR(__xludf.DUMMYFUNCTION("""COMPUTED_VALUE"""),231.96)</f>
        <v>231.96</v>
      </c>
      <c r="E276" s="12">
        <f>IFERROR(__xludf.DUMMYFUNCTION("""COMPUTED_VALUE"""),44225.66666666667)</f>
        <v>44225.66667</v>
      </c>
      <c r="F276" s="11">
        <f>IFERROR(__xludf.DUMMYFUNCTION("""COMPUTED_VALUE"""),264.51)</f>
        <v>264.51</v>
      </c>
      <c r="G276" s="12">
        <f>IFERROR(__xludf.DUMMYFUNCTION("""COMPUTED_VALUE"""),44225.66666666667)</f>
        <v>44225.66667</v>
      </c>
      <c r="H276" s="11">
        <f>IFERROR(__xludf.DUMMYFUNCTION("""COMPUTED_VALUE"""),131.96)</f>
        <v>131.96</v>
      </c>
    </row>
    <row r="277" ht="15.75" customHeight="1">
      <c r="A277" s="12">
        <f>IFERROR(__xludf.DUMMYFUNCTION("""COMPUTED_VALUE"""),44228.66666666667)</f>
        <v>44228.66667</v>
      </c>
      <c r="B277" s="11">
        <f>IFERROR(__xludf.DUMMYFUNCTION("""COMPUTED_VALUE"""),48.48)</f>
        <v>48.48</v>
      </c>
      <c r="C277" s="12">
        <f>IFERROR(__xludf.DUMMYFUNCTION("""COMPUTED_VALUE"""),44228.66666666667)</f>
        <v>44228.66667</v>
      </c>
      <c r="D277" s="11">
        <f>IFERROR(__xludf.DUMMYFUNCTION("""COMPUTED_VALUE"""),239.65)</f>
        <v>239.65</v>
      </c>
      <c r="E277" s="12">
        <f>IFERROR(__xludf.DUMMYFUNCTION("""COMPUTED_VALUE"""),44228.66666666667)</f>
        <v>44228.66667</v>
      </c>
      <c r="F277" s="11">
        <f>IFERROR(__xludf.DUMMYFUNCTION("""COMPUTED_VALUE"""),279.94)</f>
        <v>279.94</v>
      </c>
      <c r="G277" s="12">
        <f>IFERROR(__xludf.DUMMYFUNCTION("""COMPUTED_VALUE"""),44228.66666666667)</f>
        <v>44228.66667</v>
      </c>
      <c r="H277" s="11">
        <f>IFERROR(__xludf.DUMMYFUNCTION("""COMPUTED_VALUE"""),134.14)</f>
        <v>134.14</v>
      </c>
    </row>
    <row r="278" ht="15.75" customHeight="1">
      <c r="A278" s="12">
        <f>IFERROR(__xludf.DUMMYFUNCTION("""COMPUTED_VALUE"""),44229.66666666667)</f>
        <v>44229.66667</v>
      </c>
      <c r="B278" s="11">
        <f>IFERROR(__xludf.DUMMYFUNCTION("""COMPUTED_VALUE"""),48.96)</f>
        <v>48.96</v>
      </c>
      <c r="C278" s="12">
        <f>IFERROR(__xludf.DUMMYFUNCTION("""COMPUTED_VALUE"""),44229.66666666667)</f>
        <v>44229.66667</v>
      </c>
      <c r="D278" s="11">
        <f>IFERROR(__xludf.DUMMYFUNCTION("""COMPUTED_VALUE"""),239.51)</f>
        <v>239.51</v>
      </c>
      <c r="E278" s="12">
        <f>IFERROR(__xludf.DUMMYFUNCTION("""COMPUTED_VALUE"""),44229.66666666667)</f>
        <v>44229.66667</v>
      </c>
      <c r="F278" s="11">
        <f>IFERROR(__xludf.DUMMYFUNCTION("""COMPUTED_VALUE"""),290.93)</f>
        <v>290.93</v>
      </c>
      <c r="G278" s="12">
        <f>IFERROR(__xludf.DUMMYFUNCTION("""COMPUTED_VALUE"""),44229.66666666667)</f>
        <v>44229.66667</v>
      </c>
      <c r="H278" s="11">
        <f>IFERROR(__xludf.DUMMYFUNCTION("""COMPUTED_VALUE"""),134.99)</f>
        <v>134.99</v>
      </c>
    </row>
    <row r="279" ht="15.75" customHeight="1">
      <c r="A279" s="12">
        <f>IFERROR(__xludf.DUMMYFUNCTION("""COMPUTED_VALUE"""),44230.66666666667)</f>
        <v>44230.66667</v>
      </c>
      <c r="B279" s="11">
        <f>IFERROR(__xludf.DUMMYFUNCTION("""COMPUTED_VALUE"""),48.77)</f>
        <v>48.77</v>
      </c>
      <c r="C279" s="12">
        <f>IFERROR(__xludf.DUMMYFUNCTION("""COMPUTED_VALUE"""),44230.66666666667)</f>
        <v>44230.66667</v>
      </c>
      <c r="D279" s="11">
        <f>IFERROR(__xludf.DUMMYFUNCTION("""COMPUTED_VALUE"""),243.0)</f>
        <v>243</v>
      </c>
      <c r="E279" s="12">
        <f>IFERROR(__xludf.DUMMYFUNCTION("""COMPUTED_VALUE"""),44230.66666666667)</f>
        <v>44230.66667</v>
      </c>
      <c r="F279" s="11">
        <f>IFERROR(__xludf.DUMMYFUNCTION("""COMPUTED_VALUE"""),284.9)</f>
        <v>284.9</v>
      </c>
      <c r="G279" s="12">
        <f>IFERROR(__xludf.DUMMYFUNCTION("""COMPUTED_VALUE"""),44230.66666666667)</f>
        <v>44230.66667</v>
      </c>
      <c r="H279" s="11">
        <f>IFERROR(__xludf.DUMMYFUNCTION("""COMPUTED_VALUE"""),133.94)</f>
        <v>133.94</v>
      </c>
    </row>
    <row r="280" ht="15.75" customHeight="1">
      <c r="A280" s="12">
        <f>IFERROR(__xludf.DUMMYFUNCTION("""COMPUTED_VALUE"""),44231.66666666667)</f>
        <v>44231.66667</v>
      </c>
      <c r="B280" s="11">
        <f>IFERROR(__xludf.DUMMYFUNCTION("""COMPUTED_VALUE"""),49.01)</f>
        <v>49.01</v>
      </c>
      <c r="C280" s="12">
        <f>IFERROR(__xludf.DUMMYFUNCTION("""COMPUTED_VALUE"""),44231.66666666667)</f>
        <v>44231.66667</v>
      </c>
      <c r="D280" s="11">
        <f>IFERROR(__xludf.DUMMYFUNCTION("""COMPUTED_VALUE"""),242.01)</f>
        <v>242.01</v>
      </c>
      <c r="E280" s="12">
        <f>IFERROR(__xludf.DUMMYFUNCTION("""COMPUTED_VALUE"""),44231.66666666667)</f>
        <v>44231.66667</v>
      </c>
      <c r="F280" s="11">
        <f>IFERROR(__xludf.DUMMYFUNCTION("""COMPUTED_VALUE"""),283.33)</f>
        <v>283.33</v>
      </c>
      <c r="G280" s="12">
        <f>IFERROR(__xludf.DUMMYFUNCTION("""COMPUTED_VALUE"""),44231.66666666667)</f>
        <v>44231.66667</v>
      </c>
      <c r="H280" s="11">
        <f>IFERROR(__xludf.DUMMYFUNCTION("""COMPUTED_VALUE"""),137.39)</f>
        <v>137.39</v>
      </c>
    </row>
    <row r="281" ht="15.75" customHeight="1">
      <c r="A281" s="12">
        <f>IFERROR(__xludf.DUMMYFUNCTION("""COMPUTED_VALUE"""),44232.66666666667)</f>
        <v>44232.66667</v>
      </c>
      <c r="B281" s="11">
        <f>IFERROR(__xludf.DUMMYFUNCTION("""COMPUTED_VALUE"""),49.65)</f>
        <v>49.65</v>
      </c>
      <c r="C281" s="12">
        <f>IFERROR(__xludf.DUMMYFUNCTION("""COMPUTED_VALUE"""),44232.66666666667)</f>
        <v>44232.66667</v>
      </c>
      <c r="D281" s="11">
        <f>IFERROR(__xludf.DUMMYFUNCTION("""COMPUTED_VALUE"""),242.2)</f>
        <v>242.2</v>
      </c>
      <c r="E281" s="12">
        <f>IFERROR(__xludf.DUMMYFUNCTION("""COMPUTED_VALUE"""),44232.66666666667)</f>
        <v>44232.66667</v>
      </c>
      <c r="F281" s="11">
        <f>IFERROR(__xludf.DUMMYFUNCTION("""COMPUTED_VALUE"""),284.08)</f>
        <v>284.08</v>
      </c>
      <c r="G281" s="12">
        <f>IFERROR(__xludf.DUMMYFUNCTION("""COMPUTED_VALUE"""),44232.66666666667)</f>
        <v>44232.66667</v>
      </c>
      <c r="H281" s="11">
        <f>IFERROR(__xludf.DUMMYFUNCTION("""COMPUTED_VALUE"""),136.76)</f>
        <v>136.76</v>
      </c>
    </row>
    <row r="282" ht="15.75" customHeight="1">
      <c r="A282" s="12">
        <f>IFERROR(__xludf.DUMMYFUNCTION("""COMPUTED_VALUE"""),44235.66666666667)</f>
        <v>44235.66667</v>
      </c>
      <c r="B282" s="11">
        <f>IFERROR(__xludf.DUMMYFUNCTION("""COMPUTED_VALUE"""),49.92)</f>
        <v>49.92</v>
      </c>
      <c r="C282" s="12">
        <f>IFERROR(__xludf.DUMMYFUNCTION("""COMPUTED_VALUE"""),44235.66666666667)</f>
        <v>44235.66667</v>
      </c>
      <c r="D282" s="11">
        <f>IFERROR(__xludf.DUMMYFUNCTION("""COMPUTED_VALUE"""),242.47)</f>
        <v>242.47</v>
      </c>
      <c r="E282" s="12">
        <f>IFERROR(__xludf.DUMMYFUNCTION("""COMPUTED_VALUE"""),44235.66666666667)</f>
        <v>44235.66667</v>
      </c>
      <c r="F282" s="11">
        <f>IFERROR(__xludf.DUMMYFUNCTION("""COMPUTED_VALUE"""),287.81)</f>
        <v>287.81</v>
      </c>
      <c r="G282" s="12">
        <f>IFERROR(__xludf.DUMMYFUNCTION("""COMPUTED_VALUE"""),44235.66666666667)</f>
        <v>44235.66667</v>
      </c>
      <c r="H282" s="11">
        <f>IFERROR(__xludf.DUMMYFUNCTION("""COMPUTED_VALUE"""),136.91)</f>
        <v>136.91</v>
      </c>
    </row>
    <row r="283" ht="15.75" customHeight="1">
      <c r="A283" s="12">
        <f>IFERROR(__xludf.DUMMYFUNCTION("""COMPUTED_VALUE"""),44236.66666666667)</f>
        <v>44236.66667</v>
      </c>
      <c r="B283" s="11">
        <f>IFERROR(__xludf.DUMMYFUNCTION("""COMPUTED_VALUE"""),49.7)</f>
        <v>49.7</v>
      </c>
      <c r="C283" s="12">
        <f>IFERROR(__xludf.DUMMYFUNCTION("""COMPUTED_VALUE"""),44236.66666666667)</f>
        <v>44236.66667</v>
      </c>
      <c r="D283" s="11">
        <f>IFERROR(__xludf.DUMMYFUNCTION("""COMPUTED_VALUE"""),243.77)</f>
        <v>243.77</v>
      </c>
      <c r="E283" s="12">
        <f>IFERROR(__xludf.DUMMYFUNCTION("""COMPUTED_VALUE"""),44236.66666666667)</f>
        <v>44236.66667</v>
      </c>
      <c r="F283" s="11">
        <f>IFERROR(__xludf.DUMMYFUNCTION("""COMPUTED_VALUE"""),283.15)</f>
        <v>283.15</v>
      </c>
      <c r="G283" s="12">
        <f>IFERROR(__xludf.DUMMYFUNCTION("""COMPUTED_VALUE"""),44236.66666666667)</f>
        <v>44236.66667</v>
      </c>
      <c r="H283" s="11">
        <f>IFERROR(__xludf.DUMMYFUNCTION("""COMPUTED_VALUE"""),136.01)</f>
        <v>136.01</v>
      </c>
    </row>
    <row r="284" ht="15.75" customHeight="1">
      <c r="A284" s="12">
        <f>IFERROR(__xludf.DUMMYFUNCTION("""COMPUTED_VALUE"""),44237.66666666667)</f>
        <v>44237.66667</v>
      </c>
      <c r="B284" s="11">
        <f>IFERROR(__xludf.DUMMYFUNCTION("""COMPUTED_VALUE"""),49.6)</f>
        <v>49.6</v>
      </c>
      <c r="C284" s="12">
        <f>IFERROR(__xludf.DUMMYFUNCTION("""COMPUTED_VALUE"""),44237.66666666667)</f>
        <v>44237.66667</v>
      </c>
      <c r="D284" s="11">
        <f>IFERROR(__xludf.DUMMYFUNCTION("""COMPUTED_VALUE"""),242.82)</f>
        <v>242.82</v>
      </c>
      <c r="E284" s="12">
        <f>IFERROR(__xludf.DUMMYFUNCTION("""COMPUTED_VALUE"""),44237.66666666667)</f>
        <v>44237.66667</v>
      </c>
      <c r="F284" s="11">
        <f>IFERROR(__xludf.DUMMYFUNCTION("""COMPUTED_VALUE"""),268.27)</f>
        <v>268.27</v>
      </c>
      <c r="G284" s="12">
        <f>IFERROR(__xludf.DUMMYFUNCTION("""COMPUTED_VALUE"""),44237.66666666667)</f>
        <v>44237.66667</v>
      </c>
      <c r="H284" s="11">
        <f>IFERROR(__xludf.DUMMYFUNCTION("""COMPUTED_VALUE"""),135.39)</f>
        <v>135.39</v>
      </c>
    </row>
    <row r="285" ht="15.75" customHeight="1">
      <c r="A285" s="12">
        <f>IFERROR(__xludf.DUMMYFUNCTION("""COMPUTED_VALUE"""),44238.66666666667)</f>
        <v>44238.66667</v>
      </c>
      <c r="B285" s="11">
        <f>IFERROR(__xludf.DUMMYFUNCTION("""COMPUTED_VALUE"""),50.3)</f>
        <v>50.3</v>
      </c>
      <c r="C285" s="12">
        <f>IFERROR(__xludf.DUMMYFUNCTION("""COMPUTED_VALUE"""),44238.66666666667)</f>
        <v>44238.66667</v>
      </c>
      <c r="D285" s="11">
        <f>IFERROR(__xludf.DUMMYFUNCTION("""COMPUTED_VALUE"""),244.49)</f>
        <v>244.49</v>
      </c>
      <c r="E285" s="12">
        <f>IFERROR(__xludf.DUMMYFUNCTION("""COMPUTED_VALUE"""),44238.66666666667)</f>
        <v>44238.66667</v>
      </c>
      <c r="F285" s="11">
        <f>IFERROR(__xludf.DUMMYFUNCTION("""COMPUTED_VALUE"""),270.55)</f>
        <v>270.55</v>
      </c>
      <c r="G285" s="12">
        <f>IFERROR(__xludf.DUMMYFUNCTION("""COMPUTED_VALUE"""),44238.66666666667)</f>
        <v>44238.66667</v>
      </c>
      <c r="H285" s="11">
        <f>IFERROR(__xludf.DUMMYFUNCTION("""COMPUTED_VALUE"""),135.13)</f>
        <v>135.13</v>
      </c>
    </row>
    <row r="286" ht="15.75" customHeight="1">
      <c r="A286" s="12">
        <f>IFERROR(__xludf.DUMMYFUNCTION("""COMPUTED_VALUE"""),44239.66666666667)</f>
        <v>44239.66667</v>
      </c>
      <c r="B286" s="11">
        <f>IFERROR(__xludf.DUMMYFUNCTION("""COMPUTED_VALUE"""),50.69)</f>
        <v>50.69</v>
      </c>
      <c r="C286" s="12">
        <f>IFERROR(__xludf.DUMMYFUNCTION("""COMPUTED_VALUE"""),44239.66666666667)</f>
        <v>44239.66667</v>
      </c>
      <c r="D286" s="11">
        <f>IFERROR(__xludf.DUMMYFUNCTION("""COMPUTED_VALUE"""),244.99)</f>
        <v>244.99</v>
      </c>
      <c r="E286" s="12">
        <f>IFERROR(__xludf.DUMMYFUNCTION("""COMPUTED_VALUE"""),44239.66666666667)</f>
        <v>44239.66667</v>
      </c>
      <c r="F286" s="11">
        <f>IFERROR(__xludf.DUMMYFUNCTION("""COMPUTED_VALUE"""),272.04)</f>
        <v>272.04</v>
      </c>
      <c r="G286" s="12">
        <f>IFERROR(__xludf.DUMMYFUNCTION("""COMPUTED_VALUE"""),44239.66666666667)</f>
        <v>44239.66667</v>
      </c>
      <c r="H286" s="11">
        <f>IFERROR(__xludf.DUMMYFUNCTION("""COMPUTED_VALUE"""),135.37)</f>
        <v>135.37</v>
      </c>
    </row>
    <row r="287" ht="15.75" customHeight="1">
      <c r="A287" s="12">
        <f>IFERROR(__xludf.DUMMYFUNCTION("""COMPUTED_VALUE"""),44243.66666666667)</f>
        <v>44243.66667</v>
      </c>
      <c r="B287" s="11">
        <f>IFERROR(__xludf.DUMMYFUNCTION("""COMPUTED_VALUE"""),50.27)</f>
        <v>50.27</v>
      </c>
      <c r="C287" s="12">
        <f>IFERROR(__xludf.DUMMYFUNCTION("""COMPUTED_VALUE"""),44243.66666666667)</f>
        <v>44243.66667</v>
      </c>
      <c r="D287" s="11">
        <f>IFERROR(__xludf.DUMMYFUNCTION("""COMPUTED_VALUE"""),243.7)</f>
        <v>243.7</v>
      </c>
      <c r="E287" s="12">
        <f>IFERROR(__xludf.DUMMYFUNCTION("""COMPUTED_VALUE"""),44243.66666666667)</f>
        <v>44243.66667</v>
      </c>
      <c r="F287" s="11">
        <f>IFERROR(__xludf.DUMMYFUNCTION("""COMPUTED_VALUE"""),265.41)</f>
        <v>265.41</v>
      </c>
      <c r="G287" s="12">
        <f>IFERROR(__xludf.DUMMYFUNCTION("""COMPUTED_VALUE"""),44243.66666666667)</f>
        <v>44243.66667</v>
      </c>
      <c r="H287" s="11">
        <f>IFERROR(__xludf.DUMMYFUNCTION("""COMPUTED_VALUE"""),133.19)</f>
        <v>133.19</v>
      </c>
    </row>
    <row r="288" ht="15.75" customHeight="1">
      <c r="A288" s="12">
        <f>IFERROR(__xludf.DUMMYFUNCTION("""COMPUTED_VALUE"""),44244.66666666667)</f>
        <v>44244.66667</v>
      </c>
      <c r="B288" s="11">
        <f>IFERROR(__xludf.DUMMYFUNCTION("""COMPUTED_VALUE"""),50.13)</f>
        <v>50.13</v>
      </c>
      <c r="C288" s="12">
        <f>IFERROR(__xludf.DUMMYFUNCTION("""COMPUTED_VALUE"""),44244.66666666667)</f>
        <v>44244.66667</v>
      </c>
      <c r="D288" s="11">
        <f>IFERROR(__xludf.DUMMYFUNCTION("""COMPUTED_VALUE"""),244.2)</f>
        <v>244.2</v>
      </c>
      <c r="E288" s="12">
        <f>IFERROR(__xludf.DUMMYFUNCTION("""COMPUTED_VALUE"""),44244.66666666667)</f>
        <v>44244.66667</v>
      </c>
      <c r="F288" s="11">
        <f>IFERROR(__xludf.DUMMYFUNCTION("""COMPUTED_VALUE"""),266.05)</f>
        <v>266.05</v>
      </c>
      <c r="G288" s="12">
        <f>IFERROR(__xludf.DUMMYFUNCTION("""COMPUTED_VALUE"""),44244.66666666667)</f>
        <v>44244.66667</v>
      </c>
      <c r="H288" s="11">
        <f>IFERROR(__xludf.DUMMYFUNCTION("""COMPUTED_VALUE"""),130.84)</f>
        <v>130.84</v>
      </c>
    </row>
    <row r="289" ht="15.75" customHeight="1">
      <c r="A289" s="12">
        <f>IFERROR(__xludf.DUMMYFUNCTION("""COMPUTED_VALUE"""),44245.66666666667)</f>
        <v>44245.66667</v>
      </c>
      <c r="B289" s="11">
        <f>IFERROR(__xludf.DUMMYFUNCTION("""COMPUTED_VALUE"""),50.77)</f>
        <v>50.77</v>
      </c>
      <c r="C289" s="12">
        <f>IFERROR(__xludf.DUMMYFUNCTION("""COMPUTED_VALUE"""),44245.66666666667)</f>
        <v>44245.66667</v>
      </c>
      <c r="D289" s="11">
        <f>IFERROR(__xludf.DUMMYFUNCTION("""COMPUTED_VALUE"""),243.79)</f>
        <v>243.79</v>
      </c>
      <c r="E289" s="12">
        <f>IFERROR(__xludf.DUMMYFUNCTION("""COMPUTED_VALUE"""),44245.66666666667)</f>
        <v>44245.66667</v>
      </c>
      <c r="F289" s="11">
        <f>IFERROR(__xludf.DUMMYFUNCTION("""COMPUTED_VALUE"""),262.46)</f>
        <v>262.46</v>
      </c>
      <c r="G289" s="12">
        <f>IFERROR(__xludf.DUMMYFUNCTION("""COMPUTED_VALUE"""),44245.66666666667)</f>
        <v>44245.66667</v>
      </c>
      <c r="H289" s="11">
        <f>IFERROR(__xludf.DUMMYFUNCTION("""COMPUTED_VALUE"""),129.71)</f>
        <v>129.71</v>
      </c>
    </row>
    <row r="290" ht="15.75" customHeight="1">
      <c r="A290" s="12">
        <f>IFERROR(__xludf.DUMMYFUNCTION("""COMPUTED_VALUE"""),44246.66666666667)</f>
        <v>44246.66667</v>
      </c>
      <c r="B290" s="11">
        <f>IFERROR(__xludf.DUMMYFUNCTION("""COMPUTED_VALUE"""),50.11)</f>
        <v>50.11</v>
      </c>
      <c r="C290" s="12">
        <f>IFERROR(__xludf.DUMMYFUNCTION("""COMPUTED_VALUE"""),44246.66666666667)</f>
        <v>44246.66667</v>
      </c>
      <c r="D290" s="11">
        <f>IFERROR(__xludf.DUMMYFUNCTION("""COMPUTED_VALUE"""),240.97)</f>
        <v>240.97</v>
      </c>
      <c r="E290" s="12">
        <f>IFERROR(__xludf.DUMMYFUNCTION("""COMPUTED_VALUE"""),44246.66666666667)</f>
        <v>44246.66667</v>
      </c>
      <c r="F290" s="11">
        <f>IFERROR(__xludf.DUMMYFUNCTION("""COMPUTED_VALUE"""),260.43)</f>
        <v>260.43</v>
      </c>
      <c r="G290" s="12">
        <f>IFERROR(__xludf.DUMMYFUNCTION("""COMPUTED_VALUE"""),44246.66666666667)</f>
        <v>44246.66667</v>
      </c>
      <c r="H290" s="11">
        <f>IFERROR(__xludf.DUMMYFUNCTION("""COMPUTED_VALUE"""),129.87)</f>
        <v>129.87</v>
      </c>
    </row>
    <row r="291" ht="15.75" customHeight="1">
      <c r="A291" s="12">
        <f>IFERROR(__xludf.DUMMYFUNCTION("""COMPUTED_VALUE"""),44249.66666666667)</f>
        <v>44249.66667</v>
      </c>
      <c r="B291" s="11">
        <f>IFERROR(__xludf.DUMMYFUNCTION("""COMPUTED_VALUE"""),50.63)</f>
        <v>50.63</v>
      </c>
      <c r="C291" s="12">
        <f>IFERROR(__xludf.DUMMYFUNCTION("""COMPUTED_VALUE"""),44249.66666666667)</f>
        <v>44249.66667</v>
      </c>
      <c r="D291" s="11">
        <f>IFERROR(__xludf.DUMMYFUNCTION("""COMPUTED_VALUE"""),234.51)</f>
        <v>234.51</v>
      </c>
      <c r="E291" s="12">
        <f>IFERROR(__xludf.DUMMYFUNCTION("""COMPUTED_VALUE"""),44249.66666666667)</f>
        <v>44249.66667</v>
      </c>
      <c r="F291" s="11">
        <f>IFERROR(__xludf.DUMMYFUNCTION("""COMPUTED_VALUE"""),238.17)</f>
        <v>238.17</v>
      </c>
      <c r="G291" s="12">
        <f>IFERROR(__xludf.DUMMYFUNCTION("""COMPUTED_VALUE"""),44249.66666666667)</f>
        <v>44249.66667</v>
      </c>
      <c r="H291" s="11">
        <f>IFERROR(__xludf.DUMMYFUNCTION("""COMPUTED_VALUE"""),126.0)</f>
        <v>126</v>
      </c>
    </row>
    <row r="292" ht="15.75" customHeight="1">
      <c r="A292" s="12">
        <f>IFERROR(__xludf.DUMMYFUNCTION("""COMPUTED_VALUE"""),44250.66666666667)</f>
        <v>44250.66667</v>
      </c>
      <c r="B292" s="11">
        <f>IFERROR(__xludf.DUMMYFUNCTION("""COMPUTED_VALUE"""),50.54)</f>
        <v>50.54</v>
      </c>
      <c r="C292" s="12">
        <f>IFERROR(__xludf.DUMMYFUNCTION("""COMPUTED_VALUE"""),44250.66666666667)</f>
        <v>44250.66667</v>
      </c>
      <c r="D292" s="11">
        <f>IFERROR(__xludf.DUMMYFUNCTION("""COMPUTED_VALUE"""),233.27)</f>
        <v>233.27</v>
      </c>
      <c r="E292" s="12">
        <f>IFERROR(__xludf.DUMMYFUNCTION("""COMPUTED_VALUE"""),44250.66666666667)</f>
        <v>44250.66667</v>
      </c>
      <c r="F292" s="11">
        <f>IFERROR(__xludf.DUMMYFUNCTION("""COMPUTED_VALUE"""),232.95)</f>
        <v>232.95</v>
      </c>
      <c r="G292" s="12">
        <f>IFERROR(__xludf.DUMMYFUNCTION("""COMPUTED_VALUE"""),44250.66666666667)</f>
        <v>44250.66667</v>
      </c>
      <c r="H292" s="11">
        <f>IFERROR(__xludf.DUMMYFUNCTION("""COMPUTED_VALUE"""),125.86)</f>
        <v>125.86</v>
      </c>
    </row>
    <row r="293" ht="15.75" customHeight="1">
      <c r="A293" s="12">
        <f>IFERROR(__xludf.DUMMYFUNCTION("""COMPUTED_VALUE"""),44251.66666666667)</f>
        <v>44251.66667</v>
      </c>
      <c r="B293" s="11">
        <f>IFERROR(__xludf.DUMMYFUNCTION("""COMPUTED_VALUE"""),50.71)</f>
        <v>50.71</v>
      </c>
      <c r="C293" s="12">
        <f>IFERROR(__xludf.DUMMYFUNCTION("""COMPUTED_VALUE"""),44251.66666666667)</f>
        <v>44251.66667</v>
      </c>
      <c r="D293" s="11">
        <f>IFERROR(__xludf.DUMMYFUNCTION("""COMPUTED_VALUE"""),234.55)</f>
        <v>234.55</v>
      </c>
      <c r="E293" s="12">
        <f>IFERROR(__xludf.DUMMYFUNCTION("""COMPUTED_VALUE"""),44251.66666666667)</f>
        <v>44251.66667</v>
      </c>
      <c r="F293" s="11">
        <f>IFERROR(__xludf.DUMMYFUNCTION("""COMPUTED_VALUE"""),247.34)</f>
        <v>247.34</v>
      </c>
      <c r="G293" s="12">
        <f>IFERROR(__xludf.DUMMYFUNCTION("""COMPUTED_VALUE"""),44251.66666666667)</f>
        <v>44251.66667</v>
      </c>
      <c r="H293" s="11">
        <f>IFERROR(__xludf.DUMMYFUNCTION("""COMPUTED_VALUE"""),125.35)</f>
        <v>125.35</v>
      </c>
    </row>
    <row r="294" ht="15.75" customHeight="1">
      <c r="A294" s="12">
        <f>IFERROR(__xludf.DUMMYFUNCTION("""COMPUTED_VALUE"""),44252.66666666667)</f>
        <v>44252.66667</v>
      </c>
      <c r="B294" s="11">
        <f>IFERROR(__xludf.DUMMYFUNCTION("""COMPUTED_VALUE"""),50.17)</f>
        <v>50.17</v>
      </c>
      <c r="C294" s="12">
        <f>IFERROR(__xludf.DUMMYFUNCTION("""COMPUTED_VALUE"""),44252.66666666667)</f>
        <v>44252.66667</v>
      </c>
      <c r="D294" s="11">
        <f>IFERROR(__xludf.DUMMYFUNCTION("""COMPUTED_VALUE"""),228.99)</f>
        <v>228.99</v>
      </c>
      <c r="E294" s="12">
        <f>IFERROR(__xludf.DUMMYFUNCTION("""COMPUTED_VALUE"""),44252.66666666667)</f>
        <v>44252.66667</v>
      </c>
      <c r="F294" s="11">
        <f>IFERROR(__xludf.DUMMYFUNCTION("""COMPUTED_VALUE"""),227.41)</f>
        <v>227.41</v>
      </c>
      <c r="G294" s="12">
        <f>IFERROR(__xludf.DUMMYFUNCTION("""COMPUTED_VALUE"""),44252.66666666667)</f>
        <v>44252.66667</v>
      </c>
      <c r="H294" s="11">
        <f>IFERROR(__xludf.DUMMYFUNCTION("""COMPUTED_VALUE"""),120.99)</f>
        <v>120.99</v>
      </c>
    </row>
    <row r="295" ht="15.75" customHeight="1">
      <c r="A295" s="12">
        <f>IFERROR(__xludf.DUMMYFUNCTION("""COMPUTED_VALUE"""),44253.66666666667)</f>
        <v>44253.66667</v>
      </c>
      <c r="B295" s="11">
        <f>IFERROR(__xludf.DUMMYFUNCTION("""COMPUTED_VALUE"""),48.99)</f>
        <v>48.99</v>
      </c>
      <c r="C295" s="12">
        <f>IFERROR(__xludf.DUMMYFUNCTION("""COMPUTED_VALUE"""),44253.66666666667)</f>
        <v>44253.66667</v>
      </c>
      <c r="D295" s="11">
        <f>IFERROR(__xludf.DUMMYFUNCTION("""COMPUTED_VALUE"""),232.38)</f>
        <v>232.38</v>
      </c>
      <c r="E295" s="12">
        <f>IFERROR(__xludf.DUMMYFUNCTION("""COMPUTED_VALUE"""),44253.66666666667)</f>
        <v>44253.66667</v>
      </c>
      <c r="F295" s="11">
        <f>IFERROR(__xludf.DUMMYFUNCTION("""COMPUTED_VALUE"""),225.17)</f>
        <v>225.17</v>
      </c>
      <c r="G295" s="12">
        <f>IFERROR(__xludf.DUMMYFUNCTION("""COMPUTED_VALUE"""),44253.66666666667)</f>
        <v>44253.66667</v>
      </c>
      <c r="H295" s="11">
        <f>IFERROR(__xludf.DUMMYFUNCTION("""COMPUTED_VALUE"""),121.26)</f>
        <v>121.26</v>
      </c>
    </row>
    <row r="296" ht="15.75" customHeight="1">
      <c r="A296" s="12">
        <f>IFERROR(__xludf.DUMMYFUNCTION("""COMPUTED_VALUE"""),44256.66666666667)</f>
        <v>44256.66667</v>
      </c>
      <c r="B296" s="11">
        <f>IFERROR(__xludf.DUMMYFUNCTION("""COMPUTED_VALUE"""),49.9)</f>
        <v>49.9</v>
      </c>
      <c r="C296" s="12">
        <f>IFERROR(__xludf.DUMMYFUNCTION("""COMPUTED_VALUE"""),44256.66666666667)</f>
        <v>44256.66667</v>
      </c>
      <c r="D296" s="11">
        <f>IFERROR(__xludf.DUMMYFUNCTION("""COMPUTED_VALUE"""),236.94)</f>
        <v>236.94</v>
      </c>
      <c r="E296" s="12">
        <f>IFERROR(__xludf.DUMMYFUNCTION("""COMPUTED_VALUE"""),44256.66666666667)</f>
        <v>44256.66667</v>
      </c>
      <c r="F296" s="11">
        <f>IFERROR(__xludf.DUMMYFUNCTION("""COMPUTED_VALUE"""),239.48)</f>
        <v>239.48</v>
      </c>
      <c r="G296" s="12">
        <f>IFERROR(__xludf.DUMMYFUNCTION("""COMPUTED_VALUE"""),44256.66666666667)</f>
        <v>44256.66667</v>
      </c>
      <c r="H296" s="11">
        <f>IFERROR(__xludf.DUMMYFUNCTION("""COMPUTED_VALUE"""),127.79)</f>
        <v>127.79</v>
      </c>
    </row>
    <row r="297" ht="15.75" customHeight="1">
      <c r="A297" s="12">
        <f>IFERROR(__xludf.DUMMYFUNCTION("""COMPUTED_VALUE"""),44257.66666666667)</f>
        <v>44257.66667</v>
      </c>
      <c r="B297" s="11">
        <f>IFERROR(__xludf.DUMMYFUNCTION("""COMPUTED_VALUE"""),50.1)</f>
        <v>50.1</v>
      </c>
      <c r="C297" s="12">
        <f>IFERROR(__xludf.DUMMYFUNCTION("""COMPUTED_VALUE"""),44257.66666666667)</f>
        <v>44257.66667</v>
      </c>
      <c r="D297" s="11">
        <f>IFERROR(__xludf.DUMMYFUNCTION("""COMPUTED_VALUE"""),233.87)</f>
        <v>233.87</v>
      </c>
      <c r="E297" s="12">
        <f>IFERROR(__xludf.DUMMYFUNCTION("""COMPUTED_VALUE"""),44257.66666666667)</f>
        <v>44257.66667</v>
      </c>
      <c r="F297" s="11">
        <f>IFERROR(__xludf.DUMMYFUNCTION("""COMPUTED_VALUE"""),228.81)</f>
        <v>228.81</v>
      </c>
      <c r="G297" s="12">
        <f>IFERROR(__xludf.DUMMYFUNCTION("""COMPUTED_VALUE"""),44257.66666666667)</f>
        <v>44257.66667</v>
      </c>
      <c r="H297" s="11">
        <f>IFERROR(__xludf.DUMMYFUNCTION("""COMPUTED_VALUE"""),125.12)</f>
        <v>125.12</v>
      </c>
    </row>
    <row r="298" ht="15.75" customHeight="1">
      <c r="A298" s="12">
        <f>IFERROR(__xludf.DUMMYFUNCTION("""COMPUTED_VALUE"""),44258.66666666667)</f>
        <v>44258.66667</v>
      </c>
      <c r="B298" s="11">
        <f>IFERROR(__xludf.DUMMYFUNCTION("""COMPUTED_VALUE"""),49.98)</f>
        <v>49.98</v>
      </c>
      <c r="C298" s="12">
        <f>IFERROR(__xludf.DUMMYFUNCTION("""COMPUTED_VALUE"""),44258.66666666667)</f>
        <v>44258.66667</v>
      </c>
      <c r="D298" s="11">
        <f>IFERROR(__xludf.DUMMYFUNCTION("""COMPUTED_VALUE"""),227.56)</f>
        <v>227.56</v>
      </c>
      <c r="E298" s="12">
        <f>IFERROR(__xludf.DUMMYFUNCTION("""COMPUTED_VALUE"""),44258.66666666667)</f>
        <v>44258.66667</v>
      </c>
      <c r="F298" s="11">
        <f>IFERROR(__xludf.DUMMYFUNCTION("""COMPUTED_VALUE"""),217.73)</f>
        <v>217.73</v>
      </c>
      <c r="G298" s="12">
        <f>IFERROR(__xludf.DUMMYFUNCTION("""COMPUTED_VALUE"""),44258.66666666667)</f>
        <v>44258.66667</v>
      </c>
      <c r="H298" s="11">
        <f>IFERROR(__xludf.DUMMYFUNCTION("""COMPUTED_VALUE"""),122.06)</f>
        <v>122.06</v>
      </c>
    </row>
    <row r="299" ht="15.75" customHeight="1">
      <c r="A299" s="12">
        <f>IFERROR(__xludf.DUMMYFUNCTION("""COMPUTED_VALUE"""),44259.66666666667)</f>
        <v>44259.66667</v>
      </c>
      <c r="B299" s="11">
        <f>IFERROR(__xludf.DUMMYFUNCTION("""COMPUTED_VALUE"""),49.94)</f>
        <v>49.94</v>
      </c>
      <c r="C299" s="12">
        <f>IFERROR(__xludf.DUMMYFUNCTION("""COMPUTED_VALUE"""),44259.66666666667)</f>
        <v>44259.66667</v>
      </c>
      <c r="D299" s="11">
        <f>IFERROR(__xludf.DUMMYFUNCTION("""COMPUTED_VALUE"""),226.73)</f>
        <v>226.73</v>
      </c>
      <c r="E299" s="12">
        <f>IFERROR(__xludf.DUMMYFUNCTION("""COMPUTED_VALUE"""),44259.66666666667)</f>
        <v>44259.66667</v>
      </c>
      <c r="F299" s="11">
        <f>IFERROR(__xludf.DUMMYFUNCTION("""COMPUTED_VALUE"""),207.15)</f>
        <v>207.15</v>
      </c>
      <c r="G299" s="12">
        <f>IFERROR(__xludf.DUMMYFUNCTION("""COMPUTED_VALUE"""),44259.66666666667)</f>
        <v>44259.66667</v>
      </c>
      <c r="H299" s="11">
        <f>IFERROR(__xludf.DUMMYFUNCTION("""COMPUTED_VALUE"""),120.13)</f>
        <v>120.13</v>
      </c>
    </row>
    <row r="300" ht="15.75" customHeight="1">
      <c r="A300" s="12">
        <f>IFERROR(__xludf.DUMMYFUNCTION("""COMPUTED_VALUE"""),44260.66666666667)</f>
        <v>44260.66667</v>
      </c>
      <c r="B300" s="11">
        <f>IFERROR(__xludf.DUMMYFUNCTION("""COMPUTED_VALUE"""),50.79)</f>
        <v>50.79</v>
      </c>
      <c r="C300" s="12">
        <f>IFERROR(__xludf.DUMMYFUNCTION("""COMPUTED_VALUE"""),44260.66666666667)</f>
        <v>44260.66667</v>
      </c>
      <c r="D300" s="11">
        <f>IFERROR(__xludf.DUMMYFUNCTION("""COMPUTED_VALUE"""),231.6)</f>
        <v>231.6</v>
      </c>
      <c r="E300" s="12">
        <f>IFERROR(__xludf.DUMMYFUNCTION("""COMPUTED_VALUE"""),44260.66666666667)</f>
        <v>44260.66667</v>
      </c>
      <c r="F300" s="11">
        <f>IFERROR(__xludf.DUMMYFUNCTION("""COMPUTED_VALUE"""),199.32)</f>
        <v>199.32</v>
      </c>
      <c r="G300" s="12">
        <f>IFERROR(__xludf.DUMMYFUNCTION("""COMPUTED_VALUE"""),44260.66666666667)</f>
        <v>44260.66667</v>
      </c>
      <c r="H300" s="11">
        <f>IFERROR(__xludf.DUMMYFUNCTION("""COMPUTED_VALUE"""),121.42)</f>
        <v>121.42</v>
      </c>
    </row>
    <row r="301" ht="15.75" customHeight="1">
      <c r="A301" s="12">
        <f>IFERROR(__xludf.DUMMYFUNCTION("""COMPUTED_VALUE"""),44263.66666666667)</f>
        <v>44263.66667</v>
      </c>
      <c r="B301" s="11">
        <f>IFERROR(__xludf.DUMMYFUNCTION("""COMPUTED_VALUE"""),51.64)</f>
        <v>51.64</v>
      </c>
      <c r="C301" s="12">
        <f>IFERROR(__xludf.DUMMYFUNCTION("""COMPUTED_VALUE"""),44263.66666666667)</f>
        <v>44263.66667</v>
      </c>
      <c r="D301" s="11">
        <f>IFERROR(__xludf.DUMMYFUNCTION("""COMPUTED_VALUE"""),227.39)</f>
        <v>227.39</v>
      </c>
      <c r="E301" s="12">
        <f>IFERROR(__xludf.DUMMYFUNCTION("""COMPUTED_VALUE"""),44263.66666666667)</f>
        <v>44263.66667</v>
      </c>
      <c r="F301" s="11">
        <f>IFERROR(__xludf.DUMMYFUNCTION("""COMPUTED_VALUE"""),187.67)</f>
        <v>187.67</v>
      </c>
      <c r="G301" s="12">
        <f>IFERROR(__xludf.DUMMYFUNCTION("""COMPUTED_VALUE"""),44263.66666666667)</f>
        <v>44263.66667</v>
      </c>
      <c r="H301" s="11">
        <f>IFERROR(__xludf.DUMMYFUNCTION("""COMPUTED_VALUE"""),116.36)</f>
        <v>116.36</v>
      </c>
    </row>
    <row r="302" ht="15.75" customHeight="1">
      <c r="A302" s="12">
        <f>IFERROR(__xludf.DUMMYFUNCTION("""COMPUTED_VALUE"""),44264.66666666667)</f>
        <v>44264.66667</v>
      </c>
      <c r="B302" s="11">
        <f>IFERROR(__xludf.DUMMYFUNCTION("""COMPUTED_VALUE"""),50.86)</f>
        <v>50.86</v>
      </c>
      <c r="C302" s="12">
        <f>IFERROR(__xludf.DUMMYFUNCTION("""COMPUTED_VALUE"""),44264.66666666667)</f>
        <v>44264.66667</v>
      </c>
      <c r="D302" s="11">
        <f>IFERROR(__xludf.DUMMYFUNCTION("""COMPUTED_VALUE"""),233.78)</f>
        <v>233.78</v>
      </c>
      <c r="E302" s="12">
        <f>IFERROR(__xludf.DUMMYFUNCTION("""COMPUTED_VALUE"""),44264.66666666667)</f>
        <v>44264.66667</v>
      </c>
      <c r="F302" s="11">
        <f>IFERROR(__xludf.DUMMYFUNCTION("""COMPUTED_VALUE"""),224.53)</f>
        <v>224.53</v>
      </c>
      <c r="G302" s="12">
        <f>IFERROR(__xludf.DUMMYFUNCTION("""COMPUTED_VALUE"""),44264.66666666667)</f>
        <v>44264.66667</v>
      </c>
      <c r="H302" s="11">
        <f>IFERROR(__xludf.DUMMYFUNCTION("""COMPUTED_VALUE"""),121.09)</f>
        <v>121.09</v>
      </c>
    </row>
    <row r="303" ht="15.75" customHeight="1">
      <c r="A303" s="12">
        <f>IFERROR(__xludf.DUMMYFUNCTION("""COMPUTED_VALUE"""),44265.66666666667)</f>
        <v>44265.66667</v>
      </c>
      <c r="B303" s="11">
        <f>IFERROR(__xludf.DUMMYFUNCTION("""COMPUTED_VALUE"""),51.44)</f>
        <v>51.44</v>
      </c>
      <c r="C303" s="12">
        <f>IFERROR(__xludf.DUMMYFUNCTION("""COMPUTED_VALUE"""),44265.66666666667)</f>
        <v>44265.66667</v>
      </c>
      <c r="D303" s="11">
        <f>IFERROR(__xludf.DUMMYFUNCTION("""COMPUTED_VALUE"""),232.42)</f>
        <v>232.42</v>
      </c>
      <c r="E303" s="12">
        <f>IFERROR(__xludf.DUMMYFUNCTION("""COMPUTED_VALUE"""),44265.66666666667)</f>
        <v>44265.66667</v>
      </c>
      <c r="F303" s="11">
        <f>IFERROR(__xludf.DUMMYFUNCTION("""COMPUTED_VALUE"""),222.69)</f>
        <v>222.69</v>
      </c>
      <c r="G303" s="12">
        <f>IFERROR(__xludf.DUMMYFUNCTION("""COMPUTED_VALUE"""),44265.66666666667)</f>
        <v>44265.66667</v>
      </c>
      <c r="H303" s="11">
        <f>IFERROR(__xludf.DUMMYFUNCTION("""COMPUTED_VALUE"""),119.98)</f>
        <v>119.98</v>
      </c>
    </row>
    <row r="304" ht="15.75" customHeight="1">
      <c r="A304" s="12">
        <f>IFERROR(__xludf.DUMMYFUNCTION("""COMPUTED_VALUE"""),44266.66666666667)</f>
        <v>44266.66667</v>
      </c>
      <c r="B304" s="11">
        <f>IFERROR(__xludf.DUMMYFUNCTION("""COMPUTED_VALUE"""),50.88)</f>
        <v>50.88</v>
      </c>
      <c r="C304" s="12">
        <f>IFERROR(__xludf.DUMMYFUNCTION("""COMPUTED_VALUE"""),44266.66666666667)</f>
        <v>44266.66667</v>
      </c>
      <c r="D304" s="11">
        <f>IFERROR(__xludf.DUMMYFUNCTION("""COMPUTED_VALUE"""),237.13)</f>
        <v>237.13</v>
      </c>
      <c r="E304" s="12">
        <f>IFERROR(__xludf.DUMMYFUNCTION("""COMPUTED_VALUE"""),44266.66666666667)</f>
        <v>44266.66667</v>
      </c>
      <c r="F304" s="11">
        <f>IFERROR(__xludf.DUMMYFUNCTION("""COMPUTED_VALUE"""),233.2)</f>
        <v>233.2</v>
      </c>
      <c r="G304" s="12">
        <f>IFERROR(__xludf.DUMMYFUNCTION("""COMPUTED_VALUE"""),44266.66666666667)</f>
        <v>44266.66667</v>
      </c>
      <c r="H304" s="11">
        <f>IFERROR(__xludf.DUMMYFUNCTION("""COMPUTED_VALUE"""),121.96)</f>
        <v>121.96</v>
      </c>
    </row>
    <row r="305" ht="15.75" customHeight="1">
      <c r="A305" s="12">
        <f>IFERROR(__xludf.DUMMYFUNCTION("""COMPUTED_VALUE"""),44267.66666666667)</f>
        <v>44267.66667</v>
      </c>
      <c r="B305" s="11">
        <f>IFERROR(__xludf.DUMMYFUNCTION("""COMPUTED_VALUE"""),50.36)</f>
        <v>50.36</v>
      </c>
      <c r="C305" s="12">
        <f>IFERROR(__xludf.DUMMYFUNCTION("""COMPUTED_VALUE"""),44267.66666666667)</f>
        <v>44267.66667</v>
      </c>
      <c r="D305" s="11">
        <f>IFERROR(__xludf.DUMMYFUNCTION("""COMPUTED_VALUE"""),235.75)</f>
        <v>235.75</v>
      </c>
      <c r="E305" s="12">
        <f>IFERROR(__xludf.DUMMYFUNCTION("""COMPUTED_VALUE"""),44267.66666666667)</f>
        <v>44267.66667</v>
      </c>
      <c r="F305" s="11">
        <f>IFERROR(__xludf.DUMMYFUNCTION("""COMPUTED_VALUE"""),231.24)</f>
        <v>231.24</v>
      </c>
      <c r="G305" s="12">
        <f>IFERROR(__xludf.DUMMYFUNCTION("""COMPUTED_VALUE"""),44267.66666666667)</f>
        <v>44267.66667</v>
      </c>
      <c r="H305" s="11">
        <f>IFERROR(__xludf.DUMMYFUNCTION("""COMPUTED_VALUE"""),121.03)</f>
        <v>121.03</v>
      </c>
    </row>
    <row r="306" ht="15.75" customHeight="1">
      <c r="A306" s="12">
        <f>IFERROR(__xludf.DUMMYFUNCTION("""COMPUTED_VALUE"""),44270.66666666667)</f>
        <v>44270.66667</v>
      </c>
      <c r="B306" s="11">
        <f>IFERROR(__xludf.DUMMYFUNCTION("""COMPUTED_VALUE"""),51.03)</f>
        <v>51.03</v>
      </c>
      <c r="C306" s="12">
        <f>IFERROR(__xludf.DUMMYFUNCTION("""COMPUTED_VALUE"""),44270.66666666667)</f>
        <v>44270.66667</v>
      </c>
      <c r="D306" s="11">
        <f>IFERROR(__xludf.DUMMYFUNCTION("""COMPUTED_VALUE"""),234.81)</f>
        <v>234.81</v>
      </c>
      <c r="E306" s="12">
        <f>IFERROR(__xludf.DUMMYFUNCTION("""COMPUTED_VALUE"""),44270.66666666667)</f>
        <v>44270.66667</v>
      </c>
      <c r="F306" s="11">
        <f>IFERROR(__xludf.DUMMYFUNCTION("""COMPUTED_VALUE"""),235.98)</f>
        <v>235.98</v>
      </c>
      <c r="G306" s="12">
        <f>IFERROR(__xludf.DUMMYFUNCTION("""COMPUTED_VALUE"""),44270.66666666667)</f>
        <v>44270.66667</v>
      </c>
      <c r="H306" s="11">
        <f>IFERROR(__xludf.DUMMYFUNCTION("""COMPUTED_VALUE"""),123.99)</f>
        <v>123.99</v>
      </c>
    </row>
    <row r="307" ht="15.75" customHeight="1">
      <c r="A307" s="12">
        <f>IFERROR(__xludf.DUMMYFUNCTION("""COMPUTED_VALUE"""),44271.66666666667)</f>
        <v>44271.66667</v>
      </c>
      <c r="B307" s="11">
        <f>IFERROR(__xludf.DUMMYFUNCTION("""COMPUTED_VALUE"""),51.22)</f>
        <v>51.22</v>
      </c>
      <c r="C307" s="12">
        <f>IFERROR(__xludf.DUMMYFUNCTION("""COMPUTED_VALUE"""),44271.66666666667)</f>
        <v>44271.66667</v>
      </c>
      <c r="D307" s="11">
        <f>IFERROR(__xludf.DUMMYFUNCTION("""COMPUTED_VALUE"""),237.71)</f>
        <v>237.71</v>
      </c>
      <c r="E307" s="12">
        <f>IFERROR(__xludf.DUMMYFUNCTION("""COMPUTED_VALUE"""),44271.66666666667)</f>
        <v>44271.66667</v>
      </c>
      <c r="F307" s="11">
        <f>IFERROR(__xludf.DUMMYFUNCTION("""COMPUTED_VALUE"""),225.63)</f>
        <v>225.63</v>
      </c>
      <c r="G307" s="12">
        <f>IFERROR(__xludf.DUMMYFUNCTION("""COMPUTED_VALUE"""),44271.66666666667)</f>
        <v>44271.66667</v>
      </c>
      <c r="H307" s="11">
        <f>IFERROR(__xludf.DUMMYFUNCTION("""COMPUTED_VALUE"""),125.57)</f>
        <v>125.57</v>
      </c>
    </row>
    <row r="308" ht="15.75" customHeight="1">
      <c r="A308" s="12">
        <f>IFERROR(__xludf.DUMMYFUNCTION("""COMPUTED_VALUE"""),44272.66666666667)</f>
        <v>44272.66667</v>
      </c>
      <c r="B308" s="11">
        <f>IFERROR(__xludf.DUMMYFUNCTION("""COMPUTED_VALUE"""),51.24)</f>
        <v>51.24</v>
      </c>
      <c r="C308" s="12">
        <f>IFERROR(__xludf.DUMMYFUNCTION("""COMPUTED_VALUE"""),44272.66666666667)</f>
        <v>44272.66667</v>
      </c>
      <c r="D308" s="11">
        <f>IFERROR(__xludf.DUMMYFUNCTION("""COMPUTED_VALUE"""),237.04)</f>
        <v>237.04</v>
      </c>
      <c r="E308" s="12">
        <f>IFERROR(__xludf.DUMMYFUNCTION("""COMPUTED_VALUE"""),44272.66666666667)</f>
        <v>44272.66667</v>
      </c>
      <c r="F308" s="11">
        <f>IFERROR(__xludf.DUMMYFUNCTION("""COMPUTED_VALUE"""),233.94)</f>
        <v>233.94</v>
      </c>
      <c r="G308" s="12">
        <f>IFERROR(__xludf.DUMMYFUNCTION("""COMPUTED_VALUE"""),44272.66666666667)</f>
        <v>44272.66667</v>
      </c>
      <c r="H308" s="11">
        <f>IFERROR(__xludf.DUMMYFUNCTION("""COMPUTED_VALUE"""),124.76)</f>
        <v>124.76</v>
      </c>
    </row>
    <row r="309" ht="15.75" customHeight="1">
      <c r="A309" s="12">
        <f>IFERROR(__xludf.DUMMYFUNCTION("""COMPUTED_VALUE"""),44273.66666666667)</f>
        <v>44273.66667</v>
      </c>
      <c r="B309" s="11">
        <f>IFERROR(__xludf.DUMMYFUNCTION("""COMPUTED_VALUE"""),50.57)</f>
        <v>50.57</v>
      </c>
      <c r="C309" s="12">
        <f>IFERROR(__xludf.DUMMYFUNCTION("""COMPUTED_VALUE"""),44273.66666666667)</f>
        <v>44273.66667</v>
      </c>
      <c r="D309" s="11">
        <f>IFERROR(__xludf.DUMMYFUNCTION("""COMPUTED_VALUE"""),230.72)</f>
        <v>230.72</v>
      </c>
      <c r="E309" s="12">
        <f>IFERROR(__xludf.DUMMYFUNCTION("""COMPUTED_VALUE"""),44273.66666666667)</f>
        <v>44273.66667</v>
      </c>
      <c r="F309" s="11">
        <f>IFERROR(__xludf.DUMMYFUNCTION("""COMPUTED_VALUE"""),217.72)</f>
        <v>217.72</v>
      </c>
      <c r="G309" s="12">
        <f>IFERROR(__xludf.DUMMYFUNCTION("""COMPUTED_VALUE"""),44273.66666666667)</f>
        <v>44273.66667</v>
      </c>
      <c r="H309" s="11">
        <f>IFERROR(__xludf.DUMMYFUNCTION("""COMPUTED_VALUE"""),120.53)</f>
        <v>120.53</v>
      </c>
    </row>
    <row r="310" ht="15.75" customHeight="1">
      <c r="A310" s="12">
        <f>IFERROR(__xludf.DUMMYFUNCTION("""COMPUTED_VALUE"""),44274.66666666667)</f>
        <v>44274.66667</v>
      </c>
      <c r="B310" s="11">
        <f>IFERROR(__xludf.DUMMYFUNCTION("""COMPUTED_VALUE"""),50.81)</f>
        <v>50.81</v>
      </c>
      <c r="C310" s="12">
        <f>IFERROR(__xludf.DUMMYFUNCTION("""COMPUTED_VALUE"""),44274.66666666667)</f>
        <v>44274.66667</v>
      </c>
      <c r="D310" s="11">
        <f>IFERROR(__xludf.DUMMYFUNCTION("""COMPUTED_VALUE"""),230.35)</f>
        <v>230.35</v>
      </c>
      <c r="E310" s="12">
        <f>IFERROR(__xludf.DUMMYFUNCTION("""COMPUTED_VALUE"""),44274.66666666667)</f>
        <v>44274.66667</v>
      </c>
      <c r="F310" s="11">
        <f>IFERROR(__xludf.DUMMYFUNCTION("""COMPUTED_VALUE"""),218.29)</f>
        <v>218.29</v>
      </c>
      <c r="G310" s="12">
        <f>IFERROR(__xludf.DUMMYFUNCTION("""COMPUTED_VALUE"""),44274.66666666667)</f>
        <v>44274.66667</v>
      </c>
      <c r="H310" s="11">
        <f>IFERROR(__xludf.DUMMYFUNCTION("""COMPUTED_VALUE"""),119.99)</f>
        <v>119.99</v>
      </c>
    </row>
    <row r="311" ht="15.75" customHeight="1">
      <c r="A311" s="12">
        <f>IFERROR(__xludf.DUMMYFUNCTION("""COMPUTED_VALUE"""),44277.66666666667)</f>
        <v>44277.66667</v>
      </c>
      <c r="B311" s="11">
        <f>IFERROR(__xludf.DUMMYFUNCTION("""COMPUTED_VALUE"""),51.0)</f>
        <v>51</v>
      </c>
      <c r="C311" s="12">
        <f>IFERROR(__xludf.DUMMYFUNCTION("""COMPUTED_VALUE"""),44277.66666666667)</f>
        <v>44277.66667</v>
      </c>
      <c r="D311" s="11">
        <f>IFERROR(__xludf.DUMMYFUNCTION("""COMPUTED_VALUE"""),235.99)</f>
        <v>235.99</v>
      </c>
      <c r="E311" s="12">
        <f>IFERROR(__xludf.DUMMYFUNCTION("""COMPUTED_VALUE"""),44277.66666666667)</f>
        <v>44277.66667</v>
      </c>
      <c r="F311" s="11">
        <f>IFERROR(__xludf.DUMMYFUNCTION("""COMPUTED_VALUE"""),223.33)</f>
        <v>223.33</v>
      </c>
      <c r="G311" s="12">
        <f>IFERROR(__xludf.DUMMYFUNCTION("""COMPUTED_VALUE"""),44277.66666666667)</f>
        <v>44277.66667</v>
      </c>
      <c r="H311" s="11">
        <f>IFERROR(__xludf.DUMMYFUNCTION("""COMPUTED_VALUE"""),123.39)</f>
        <v>123.39</v>
      </c>
    </row>
    <row r="312" ht="15.75" customHeight="1">
      <c r="A312" s="12">
        <f>IFERROR(__xludf.DUMMYFUNCTION("""COMPUTED_VALUE"""),44278.66666666667)</f>
        <v>44278.66667</v>
      </c>
      <c r="B312" s="11">
        <f>IFERROR(__xludf.DUMMYFUNCTION("""COMPUTED_VALUE"""),51.39)</f>
        <v>51.39</v>
      </c>
      <c r="C312" s="12">
        <f>IFERROR(__xludf.DUMMYFUNCTION("""COMPUTED_VALUE"""),44278.66666666667)</f>
        <v>44278.66667</v>
      </c>
      <c r="D312" s="11">
        <f>IFERROR(__xludf.DUMMYFUNCTION("""COMPUTED_VALUE"""),237.58)</f>
        <v>237.58</v>
      </c>
      <c r="E312" s="12">
        <f>IFERROR(__xludf.DUMMYFUNCTION("""COMPUTED_VALUE"""),44278.66666666667)</f>
        <v>44278.66667</v>
      </c>
      <c r="F312" s="11">
        <f>IFERROR(__xludf.DUMMYFUNCTION("""COMPUTED_VALUE"""),220.72)</f>
        <v>220.72</v>
      </c>
      <c r="G312" s="12">
        <f>IFERROR(__xludf.DUMMYFUNCTION("""COMPUTED_VALUE"""),44278.66666666667)</f>
        <v>44278.66667</v>
      </c>
      <c r="H312" s="11">
        <f>IFERROR(__xludf.DUMMYFUNCTION("""COMPUTED_VALUE"""),122.54)</f>
        <v>122.54</v>
      </c>
    </row>
    <row r="313" ht="15.75" customHeight="1">
      <c r="A313" s="12">
        <f>IFERROR(__xludf.DUMMYFUNCTION("""COMPUTED_VALUE"""),44279.66666666667)</f>
        <v>44279.66667</v>
      </c>
      <c r="B313" s="11">
        <f>IFERROR(__xludf.DUMMYFUNCTION("""COMPUTED_VALUE"""),51.52)</f>
        <v>51.52</v>
      </c>
      <c r="C313" s="12">
        <f>IFERROR(__xludf.DUMMYFUNCTION("""COMPUTED_VALUE"""),44279.66666666667)</f>
        <v>44279.66667</v>
      </c>
      <c r="D313" s="11">
        <f>IFERROR(__xludf.DUMMYFUNCTION("""COMPUTED_VALUE"""),235.46)</f>
        <v>235.46</v>
      </c>
      <c r="E313" s="12">
        <f>IFERROR(__xludf.DUMMYFUNCTION("""COMPUTED_VALUE"""),44279.66666666667)</f>
        <v>44279.66667</v>
      </c>
      <c r="F313" s="11">
        <f>IFERROR(__xludf.DUMMYFUNCTION("""COMPUTED_VALUE"""),210.09)</f>
        <v>210.09</v>
      </c>
      <c r="G313" s="12">
        <f>IFERROR(__xludf.DUMMYFUNCTION("""COMPUTED_VALUE"""),44279.66666666667)</f>
        <v>44279.66667</v>
      </c>
      <c r="H313" s="11">
        <f>IFERROR(__xludf.DUMMYFUNCTION("""COMPUTED_VALUE"""),120.09)</f>
        <v>120.09</v>
      </c>
    </row>
    <row r="314" ht="15.75" customHeight="1">
      <c r="A314" s="12">
        <f>IFERROR(__xludf.DUMMYFUNCTION("""COMPUTED_VALUE"""),44280.66666666667)</f>
        <v>44280.66667</v>
      </c>
      <c r="B314" s="11">
        <f>IFERROR(__xludf.DUMMYFUNCTION("""COMPUTED_VALUE"""),52.02)</f>
        <v>52.02</v>
      </c>
      <c r="C314" s="12">
        <f>IFERROR(__xludf.DUMMYFUNCTION("""COMPUTED_VALUE"""),44280.66666666667)</f>
        <v>44280.66667</v>
      </c>
      <c r="D314" s="11">
        <f>IFERROR(__xludf.DUMMYFUNCTION("""COMPUTED_VALUE"""),232.34)</f>
        <v>232.34</v>
      </c>
      <c r="E314" s="12">
        <f>IFERROR(__xludf.DUMMYFUNCTION("""COMPUTED_VALUE"""),44280.66666666667)</f>
        <v>44280.66667</v>
      </c>
      <c r="F314" s="11">
        <f>IFERROR(__xludf.DUMMYFUNCTION("""COMPUTED_VALUE"""),213.46)</f>
        <v>213.46</v>
      </c>
      <c r="G314" s="12">
        <f>IFERROR(__xludf.DUMMYFUNCTION("""COMPUTED_VALUE"""),44280.66666666667)</f>
        <v>44280.66667</v>
      </c>
      <c r="H314" s="11">
        <f>IFERROR(__xludf.DUMMYFUNCTION("""COMPUTED_VALUE"""),120.59)</f>
        <v>120.59</v>
      </c>
    </row>
    <row r="315" ht="15.75" customHeight="1">
      <c r="A315" s="12">
        <f>IFERROR(__xludf.DUMMYFUNCTION("""COMPUTED_VALUE"""),44281.66666666667)</f>
        <v>44281.66667</v>
      </c>
      <c r="B315" s="11">
        <f>IFERROR(__xludf.DUMMYFUNCTION("""COMPUTED_VALUE"""),53.04)</f>
        <v>53.04</v>
      </c>
      <c r="C315" s="12">
        <f>IFERROR(__xludf.DUMMYFUNCTION("""COMPUTED_VALUE"""),44281.66666666667)</f>
        <v>44281.66667</v>
      </c>
      <c r="D315" s="11">
        <f>IFERROR(__xludf.DUMMYFUNCTION("""COMPUTED_VALUE"""),236.48)</f>
        <v>236.48</v>
      </c>
      <c r="E315" s="12">
        <f>IFERROR(__xludf.DUMMYFUNCTION("""COMPUTED_VALUE"""),44281.66666666667)</f>
        <v>44281.66667</v>
      </c>
      <c r="F315" s="11">
        <f>IFERROR(__xludf.DUMMYFUNCTION("""COMPUTED_VALUE"""),206.24)</f>
        <v>206.24</v>
      </c>
      <c r="G315" s="12">
        <f>IFERROR(__xludf.DUMMYFUNCTION("""COMPUTED_VALUE"""),44281.66666666667)</f>
        <v>44281.66667</v>
      </c>
      <c r="H315" s="11">
        <f>IFERROR(__xludf.DUMMYFUNCTION("""COMPUTED_VALUE"""),121.21)</f>
        <v>121.21</v>
      </c>
    </row>
    <row r="316" ht="15.75" customHeight="1">
      <c r="A316" s="12">
        <f>IFERROR(__xludf.DUMMYFUNCTION("""COMPUTED_VALUE"""),44284.66666666667)</f>
        <v>44284.66667</v>
      </c>
      <c r="B316" s="11">
        <f>IFERROR(__xludf.DUMMYFUNCTION("""COMPUTED_VALUE"""),53.85)</f>
        <v>53.85</v>
      </c>
      <c r="C316" s="12">
        <f>IFERROR(__xludf.DUMMYFUNCTION("""COMPUTED_VALUE"""),44284.66666666667)</f>
        <v>44284.66667</v>
      </c>
      <c r="D316" s="11">
        <f>IFERROR(__xludf.DUMMYFUNCTION("""COMPUTED_VALUE"""),235.24)</f>
        <v>235.24</v>
      </c>
      <c r="E316" s="12">
        <f>IFERROR(__xludf.DUMMYFUNCTION("""COMPUTED_VALUE"""),44284.66666666667)</f>
        <v>44284.66667</v>
      </c>
      <c r="F316" s="11">
        <f>IFERROR(__xludf.DUMMYFUNCTION("""COMPUTED_VALUE"""),203.76)</f>
        <v>203.76</v>
      </c>
      <c r="G316" s="12">
        <f>IFERROR(__xludf.DUMMYFUNCTION("""COMPUTED_VALUE"""),44284.66666666667)</f>
        <v>44284.66667</v>
      </c>
      <c r="H316" s="11">
        <f>IFERROR(__xludf.DUMMYFUNCTION("""COMPUTED_VALUE"""),121.39)</f>
        <v>121.39</v>
      </c>
    </row>
    <row r="317" ht="15.75" customHeight="1">
      <c r="A317" s="12">
        <f>IFERROR(__xludf.DUMMYFUNCTION("""COMPUTED_VALUE"""),44285.66666666667)</f>
        <v>44285.66667</v>
      </c>
      <c r="B317" s="11">
        <f>IFERROR(__xludf.DUMMYFUNCTION("""COMPUTED_VALUE"""),53.15)</f>
        <v>53.15</v>
      </c>
      <c r="C317" s="12">
        <f>IFERROR(__xludf.DUMMYFUNCTION("""COMPUTED_VALUE"""),44285.66666666667)</f>
        <v>44285.66667</v>
      </c>
      <c r="D317" s="11">
        <f>IFERROR(__xludf.DUMMYFUNCTION("""COMPUTED_VALUE"""),231.85)</f>
        <v>231.85</v>
      </c>
      <c r="E317" s="12">
        <f>IFERROR(__xludf.DUMMYFUNCTION("""COMPUTED_VALUE"""),44285.66666666667)</f>
        <v>44285.66667</v>
      </c>
      <c r="F317" s="11">
        <f>IFERROR(__xludf.DUMMYFUNCTION("""COMPUTED_VALUE"""),211.87)</f>
        <v>211.87</v>
      </c>
      <c r="G317" s="12">
        <f>IFERROR(__xludf.DUMMYFUNCTION("""COMPUTED_VALUE"""),44285.66666666667)</f>
        <v>44285.66667</v>
      </c>
      <c r="H317" s="11">
        <f>IFERROR(__xludf.DUMMYFUNCTION("""COMPUTED_VALUE"""),119.9)</f>
        <v>119.9</v>
      </c>
    </row>
    <row r="318" ht="15.75" customHeight="1">
      <c r="A318" s="12">
        <f>IFERROR(__xludf.DUMMYFUNCTION("""COMPUTED_VALUE"""),44286.66666666667)</f>
        <v>44286.66667</v>
      </c>
      <c r="B318" s="11">
        <f>IFERROR(__xludf.DUMMYFUNCTION("""COMPUTED_VALUE"""),52.71)</f>
        <v>52.71</v>
      </c>
      <c r="C318" s="12">
        <f>IFERROR(__xludf.DUMMYFUNCTION("""COMPUTED_VALUE"""),44286.66666666667)</f>
        <v>44286.66667</v>
      </c>
      <c r="D318" s="11">
        <f>IFERROR(__xludf.DUMMYFUNCTION("""COMPUTED_VALUE"""),235.77)</f>
        <v>235.77</v>
      </c>
      <c r="E318" s="12">
        <f>IFERROR(__xludf.DUMMYFUNCTION("""COMPUTED_VALUE"""),44286.66666666667)</f>
        <v>44286.66667</v>
      </c>
      <c r="F318" s="11">
        <f>IFERROR(__xludf.DUMMYFUNCTION("""COMPUTED_VALUE"""),222.64)</f>
        <v>222.64</v>
      </c>
      <c r="G318" s="12">
        <f>IFERROR(__xludf.DUMMYFUNCTION("""COMPUTED_VALUE"""),44286.66666666667)</f>
        <v>44286.66667</v>
      </c>
      <c r="H318" s="11">
        <f>IFERROR(__xludf.DUMMYFUNCTION("""COMPUTED_VALUE"""),122.15)</f>
        <v>122.15</v>
      </c>
    </row>
    <row r="319" ht="15.75" customHeight="1">
      <c r="A319" s="12">
        <f>IFERROR(__xludf.DUMMYFUNCTION("""COMPUTED_VALUE"""),44287.66666666667)</f>
        <v>44287.66667</v>
      </c>
      <c r="B319" s="11">
        <f>IFERROR(__xludf.DUMMYFUNCTION("""COMPUTED_VALUE"""),52.51)</f>
        <v>52.51</v>
      </c>
      <c r="C319" s="12">
        <f>IFERROR(__xludf.DUMMYFUNCTION("""COMPUTED_VALUE"""),44287.66666666667)</f>
        <v>44287.66667</v>
      </c>
      <c r="D319" s="11">
        <f>IFERROR(__xludf.DUMMYFUNCTION("""COMPUTED_VALUE"""),242.35)</f>
        <v>242.35</v>
      </c>
      <c r="E319" s="12">
        <f>IFERROR(__xludf.DUMMYFUNCTION("""COMPUTED_VALUE"""),44287.66666666667)</f>
        <v>44287.66667</v>
      </c>
      <c r="F319" s="11">
        <f>IFERROR(__xludf.DUMMYFUNCTION("""COMPUTED_VALUE"""),220.58)</f>
        <v>220.58</v>
      </c>
      <c r="G319" s="12">
        <f>IFERROR(__xludf.DUMMYFUNCTION("""COMPUTED_VALUE"""),44287.66666666667)</f>
        <v>44287.66667</v>
      </c>
      <c r="H319" s="11">
        <f>IFERROR(__xludf.DUMMYFUNCTION("""COMPUTED_VALUE"""),123.0)</f>
        <v>123</v>
      </c>
    </row>
    <row r="320" ht="15.75" customHeight="1">
      <c r="A320" s="12">
        <f>IFERROR(__xludf.DUMMYFUNCTION("""COMPUTED_VALUE"""),44291.66666666667)</f>
        <v>44291.66667</v>
      </c>
      <c r="B320" s="11">
        <f>IFERROR(__xludf.DUMMYFUNCTION("""COMPUTED_VALUE"""),52.81)</f>
        <v>52.81</v>
      </c>
      <c r="C320" s="12">
        <f>IFERROR(__xludf.DUMMYFUNCTION("""COMPUTED_VALUE"""),44291.66666666667)</f>
        <v>44291.66667</v>
      </c>
      <c r="D320" s="11">
        <f>IFERROR(__xludf.DUMMYFUNCTION("""COMPUTED_VALUE"""),249.07)</f>
        <v>249.07</v>
      </c>
      <c r="E320" s="12">
        <f>IFERROR(__xludf.DUMMYFUNCTION("""COMPUTED_VALUE"""),44291.66666666667)</f>
        <v>44291.66667</v>
      </c>
      <c r="F320" s="11">
        <f>IFERROR(__xludf.DUMMYFUNCTION("""COMPUTED_VALUE"""),230.35)</f>
        <v>230.35</v>
      </c>
      <c r="G320" s="12">
        <f>IFERROR(__xludf.DUMMYFUNCTION("""COMPUTED_VALUE"""),44291.66666666667)</f>
        <v>44291.66667</v>
      </c>
      <c r="H320" s="11">
        <f>IFERROR(__xludf.DUMMYFUNCTION("""COMPUTED_VALUE"""),125.9)</f>
        <v>125.9</v>
      </c>
    </row>
    <row r="321" ht="15.75" customHeight="1">
      <c r="A321" s="12">
        <f>IFERROR(__xludf.DUMMYFUNCTION("""COMPUTED_VALUE"""),44292.66666666667)</f>
        <v>44292.66667</v>
      </c>
      <c r="B321" s="11">
        <f>IFERROR(__xludf.DUMMYFUNCTION("""COMPUTED_VALUE"""),53.19)</f>
        <v>53.19</v>
      </c>
      <c r="C321" s="12">
        <f>IFERROR(__xludf.DUMMYFUNCTION("""COMPUTED_VALUE"""),44292.66666666667)</f>
        <v>44292.66667</v>
      </c>
      <c r="D321" s="11">
        <f>IFERROR(__xludf.DUMMYFUNCTION("""COMPUTED_VALUE"""),247.86)</f>
        <v>247.86</v>
      </c>
      <c r="E321" s="12">
        <f>IFERROR(__xludf.DUMMYFUNCTION("""COMPUTED_VALUE"""),44292.66666666667)</f>
        <v>44292.66667</v>
      </c>
      <c r="F321" s="11">
        <f>IFERROR(__xludf.DUMMYFUNCTION("""COMPUTED_VALUE"""),230.54)</f>
        <v>230.54</v>
      </c>
      <c r="G321" s="12">
        <f>IFERROR(__xludf.DUMMYFUNCTION("""COMPUTED_VALUE"""),44292.66666666667)</f>
        <v>44292.66667</v>
      </c>
      <c r="H321" s="11">
        <f>IFERROR(__xludf.DUMMYFUNCTION("""COMPUTED_VALUE"""),126.21)</f>
        <v>126.21</v>
      </c>
    </row>
    <row r="322" ht="15.75" customHeight="1">
      <c r="A322" s="12">
        <f>IFERROR(__xludf.DUMMYFUNCTION("""COMPUTED_VALUE"""),44293.66666666667)</f>
        <v>44293.66667</v>
      </c>
      <c r="B322" s="11">
        <f>IFERROR(__xludf.DUMMYFUNCTION("""COMPUTED_VALUE"""),53.28)</f>
        <v>53.28</v>
      </c>
      <c r="C322" s="12">
        <f>IFERROR(__xludf.DUMMYFUNCTION("""COMPUTED_VALUE"""),44293.66666666667)</f>
        <v>44293.66667</v>
      </c>
      <c r="D322" s="11">
        <f>IFERROR(__xludf.DUMMYFUNCTION("""COMPUTED_VALUE"""),249.9)</f>
        <v>249.9</v>
      </c>
      <c r="E322" s="12">
        <f>IFERROR(__xludf.DUMMYFUNCTION("""COMPUTED_VALUE"""),44293.66666666667)</f>
        <v>44293.66667</v>
      </c>
      <c r="F322" s="11">
        <f>IFERROR(__xludf.DUMMYFUNCTION("""COMPUTED_VALUE"""),223.66)</f>
        <v>223.66</v>
      </c>
      <c r="G322" s="12">
        <f>IFERROR(__xludf.DUMMYFUNCTION("""COMPUTED_VALUE"""),44293.66666666667)</f>
        <v>44293.66667</v>
      </c>
      <c r="H322" s="11">
        <f>IFERROR(__xludf.DUMMYFUNCTION("""COMPUTED_VALUE"""),127.9)</f>
        <v>127.9</v>
      </c>
    </row>
    <row r="323" ht="15.75" customHeight="1">
      <c r="A323" s="12">
        <f>IFERROR(__xludf.DUMMYFUNCTION("""COMPUTED_VALUE"""),44294.66666666667)</f>
        <v>44294.66667</v>
      </c>
      <c r="B323" s="11">
        <f>IFERROR(__xludf.DUMMYFUNCTION("""COMPUTED_VALUE"""),53.12)</f>
        <v>53.12</v>
      </c>
      <c r="C323" s="12">
        <f>IFERROR(__xludf.DUMMYFUNCTION("""COMPUTED_VALUE"""),44294.66666666667)</f>
        <v>44294.66667</v>
      </c>
      <c r="D323" s="11">
        <f>IFERROR(__xludf.DUMMYFUNCTION("""COMPUTED_VALUE"""),253.25)</f>
        <v>253.25</v>
      </c>
      <c r="E323" s="12">
        <f>IFERROR(__xludf.DUMMYFUNCTION("""COMPUTED_VALUE"""),44294.66666666667)</f>
        <v>44294.66667</v>
      </c>
      <c r="F323" s="11">
        <f>IFERROR(__xludf.DUMMYFUNCTION("""COMPUTED_VALUE"""),227.93)</f>
        <v>227.93</v>
      </c>
      <c r="G323" s="12">
        <f>IFERROR(__xludf.DUMMYFUNCTION("""COMPUTED_VALUE"""),44294.66666666667)</f>
        <v>44294.66667</v>
      </c>
      <c r="H323" s="11">
        <f>IFERROR(__xludf.DUMMYFUNCTION("""COMPUTED_VALUE"""),130.36)</f>
        <v>130.36</v>
      </c>
    </row>
    <row r="324" ht="15.75" customHeight="1">
      <c r="A324" s="12">
        <f>IFERROR(__xludf.DUMMYFUNCTION("""COMPUTED_VALUE"""),44295.66666666667)</f>
        <v>44295.66667</v>
      </c>
      <c r="B324" s="11">
        <f>IFERROR(__xludf.DUMMYFUNCTION("""COMPUTED_VALUE"""),53.18)</f>
        <v>53.18</v>
      </c>
      <c r="C324" s="12">
        <f>IFERROR(__xludf.DUMMYFUNCTION("""COMPUTED_VALUE"""),44295.66666666667)</f>
        <v>44295.66667</v>
      </c>
      <c r="D324" s="11">
        <f>IFERROR(__xludf.DUMMYFUNCTION("""COMPUTED_VALUE"""),255.85)</f>
        <v>255.85</v>
      </c>
      <c r="E324" s="12">
        <f>IFERROR(__xludf.DUMMYFUNCTION("""COMPUTED_VALUE"""),44295.66666666667)</f>
        <v>44295.66667</v>
      </c>
      <c r="F324" s="11">
        <f>IFERROR(__xludf.DUMMYFUNCTION("""COMPUTED_VALUE"""),225.67)</f>
        <v>225.67</v>
      </c>
      <c r="G324" s="12">
        <f>IFERROR(__xludf.DUMMYFUNCTION("""COMPUTED_VALUE"""),44295.66666666667)</f>
        <v>44295.66667</v>
      </c>
      <c r="H324" s="11">
        <f>IFERROR(__xludf.DUMMYFUNCTION("""COMPUTED_VALUE"""),133.0)</f>
        <v>133</v>
      </c>
    </row>
    <row r="325" ht="15.75" customHeight="1">
      <c r="A325" s="12">
        <f>IFERROR(__xludf.DUMMYFUNCTION("""COMPUTED_VALUE"""),44298.66666666667)</f>
        <v>44298.66667</v>
      </c>
      <c r="B325" s="11">
        <f>IFERROR(__xludf.DUMMYFUNCTION("""COMPUTED_VALUE"""),53.35)</f>
        <v>53.35</v>
      </c>
      <c r="C325" s="12">
        <f>IFERROR(__xludf.DUMMYFUNCTION("""COMPUTED_VALUE"""),44298.66666666667)</f>
        <v>44298.66667</v>
      </c>
      <c r="D325" s="11">
        <f>IFERROR(__xludf.DUMMYFUNCTION("""COMPUTED_VALUE"""),255.91)</f>
        <v>255.91</v>
      </c>
      <c r="E325" s="12">
        <f>IFERROR(__xludf.DUMMYFUNCTION("""COMPUTED_VALUE"""),44298.66666666667)</f>
        <v>44298.66667</v>
      </c>
      <c r="F325" s="11">
        <f>IFERROR(__xludf.DUMMYFUNCTION("""COMPUTED_VALUE"""),233.99)</f>
        <v>233.99</v>
      </c>
      <c r="G325" s="12">
        <f>IFERROR(__xludf.DUMMYFUNCTION("""COMPUTED_VALUE"""),44298.66666666667)</f>
        <v>44298.66667</v>
      </c>
      <c r="H325" s="11">
        <f>IFERROR(__xludf.DUMMYFUNCTION("""COMPUTED_VALUE"""),131.24)</f>
        <v>131.24</v>
      </c>
    </row>
    <row r="326" ht="15.75" customHeight="1">
      <c r="A326" s="12">
        <f>IFERROR(__xludf.DUMMYFUNCTION("""COMPUTED_VALUE"""),44299.66666666667)</f>
        <v>44299.66667</v>
      </c>
      <c r="B326" s="11">
        <f>IFERROR(__xludf.DUMMYFUNCTION("""COMPUTED_VALUE"""),53.09)</f>
        <v>53.09</v>
      </c>
      <c r="C326" s="12">
        <f>IFERROR(__xludf.DUMMYFUNCTION("""COMPUTED_VALUE"""),44299.66666666667)</f>
        <v>44299.66667</v>
      </c>
      <c r="D326" s="11">
        <f>IFERROR(__xludf.DUMMYFUNCTION("""COMPUTED_VALUE"""),258.49)</f>
        <v>258.49</v>
      </c>
      <c r="E326" s="12">
        <f>IFERROR(__xludf.DUMMYFUNCTION("""COMPUTED_VALUE"""),44299.66666666667)</f>
        <v>44299.66667</v>
      </c>
      <c r="F326" s="11">
        <f>IFERROR(__xludf.DUMMYFUNCTION("""COMPUTED_VALUE"""),254.11)</f>
        <v>254.11</v>
      </c>
      <c r="G326" s="12">
        <f>IFERROR(__xludf.DUMMYFUNCTION("""COMPUTED_VALUE"""),44299.66666666667)</f>
        <v>44299.66667</v>
      </c>
      <c r="H326" s="11">
        <f>IFERROR(__xludf.DUMMYFUNCTION("""COMPUTED_VALUE"""),134.43)</f>
        <v>134.43</v>
      </c>
    </row>
    <row r="327" ht="15.75" customHeight="1">
      <c r="A327" s="12">
        <f>IFERROR(__xludf.DUMMYFUNCTION("""COMPUTED_VALUE"""),44300.66666666667)</f>
        <v>44300.66667</v>
      </c>
      <c r="B327" s="11">
        <f>IFERROR(__xludf.DUMMYFUNCTION("""COMPUTED_VALUE"""),53.08)</f>
        <v>53.08</v>
      </c>
      <c r="C327" s="12">
        <f>IFERROR(__xludf.DUMMYFUNCTION("""COMPUTED_VALUE"""),44300.66666666667)</f>
        <v>44300.66667</v>
      </c>
      <c r="D327" s="11">
        <f>IFERROR(__xludf.DUMMYFUNCTION("""COMPUTED_VALUE"""),255.59)</f>
        <v>255.59</v>
      </c>
      <c r="E327" s="12">
        <f>IFERROR(__xludf.DUMMYFUNCTION("""COMPUTED_VALUE"""),44300.66666666667)</f>
        <v>44300.66667</v>
      </c>
      <c r="F327" s="11">
        <f>IFERROR(__xludf.DUMMYFUNCTION("""COMPUTED_VALUE"""),244.08)</f>
        <v>244.08</v>
      </c>
      <c r="G327" s="12">
        <f>IFERROR(__xludf.DUMMYFUNCTION("""COMPUTED_VALUE"""),44300.66666666667)</f>
        <v>44300.66667</v>
      </c>
      <c r="H327" s="11">
        <f>IFERROR(__xludf.DUMMYFUNCTION("""COMPUTED_VALUE"""),132.03)</f>
        <v>132.03</v>
      </c>
    </row>
    <row r="328" ht="15.75" customHeight="1">
      <c r="A328" s="12">
        <f>IFERROR(__xludf.DUMMYFUNCTION("""COMPUTED_VALUE"""),44301.66666666667)</f>
        <v>44301.66667</v>
      </c>
      <c r="B328" s="11">
        <f>IFERROR(__xludf.DUMMYFUNCTION("""COMPUTED_VALUE"""),53.33)</f>
        <v>53.33</v>
      </c>
      <c r="C328" s="12">
        <f>IFERROR(__xludf.DUMMYFUNCTION("""COMPUTED_VALUE"""),44301.66666666667)</f>
        <v>44301.66667</v>
      </c>
      <c r="D328" s="11">
        <f>IFERROR(__xludf.DUMMYFUNCTION("""COMPUTED_VALUE"""),259.5)</f>
        <v>259.5</v>
      </c>
      <c r="E328" s="12">
        <f>IFERROR(__xludf.DUMMYFUNCTION("""COMPUTED_VALUE"""),44301.66666666667)</f>
        <v>44301.66667</v>
      </c>
      <c r="F328" s="11">
        <f>IFERROR(__xludf.DUMMYFUNCTION("""COMPUTED_VALUE"""),246.28)</f>
        <v>246.28</v>
      </c>
      <c r="G328" s="12">
        <f>IFERROR(__xludf.DUMMYFUNCTION("""COMPUTED_VALUE"""),44301.66666666667)</f>
        <v>44301.66667</v>
      </c>
      <c r="H328" s="11">
        <f>IFERROR(__xludf.DUMMYFUNCTION("""COMPUTED_VALUE"""),134.5)</f>
        <v>134.5</v>
      </c>
    </row>
    <row r="329" ht="15.75" customHeight="1">
      <c r="A329" s="12">
        <f>IFERROR(__xludf.DUMMYFUNCTION("""COMPUTED_VALUE"""),44302.66666666667)</f>
        <v>44302.66667</v>
      </c>
      <c r="B329" s="11">
        <f>IFERROR(__xludf.DUMMYFUNCTION("""COMPUTED_VALUE"""),53.68)</f>
        <v>53.68</v>
      </c>
      <c r="C329" s="12">
        <f>IFERROR(__xludf.DUMMYFUNCTION("""COMPUTED_VALUE"""),44302.66666666667)</f>
        <v>44302.66667</v>
      </c>
      <c r="D329" s="11">
        <f>IFERROR(__xludf.DUMMYFUNCTION("""COMPUTED_VALUE"""),260.74)</f>
        <v>260.74</v>
      </c>
      <c r="E329" s="12">
        <f>IFERROR(__xludf.DUMMYFUNCTION("""COMPUTED_VALUE"""),44302.66666666667)</f>
        <v>44302.66667</v>
      </c>
      <c r="F329" s="11">
        <f>IFERROR(__xludf.DUMMYFUNCTION("""COMPUTED_VALUE"""),246.59)</f>
        <v>246.59</v>
      </c>
      <c r="G329" s="12">
        <f>IFERROR(__xludf.DUMMYFUNCTION("""COMPUTED_VALUE"""),44302.66666666667)</f>
        <v>44302.66667</v>
      </c>
      <c r="H329" s="11">
        <f>IFERROR(__xludf.DUMMYFUNCTION("""COMPUTED_VALUE"""),134.16)</f>
        <v>134.16</v>
      </c>
    </row>
    <row r="330" ht="15.75" customHeight="1">
      <c r="A330" s="12">
        <f>IFERROR(__xludf.DUMMYFUNCTION("""COMPUTED_VALUE"""),44305.66666666667)</f>
        <v>44305.66667</v>
      </c>
      <c r="B330" s="11">
        <f>IFERROR(__xludf.DUMMYFUNCTION("""COMPUTED_VALUE"""),54.0)</f>
        <v>54</v>
      </c>
      <c r="C330" s="12">
        <f>IFERROR(__xludf.DUMMYFUNCTION("""COMPUTED_VALUE"""),44305.66666666667)</f>
        <v>44305.66667</v>
      </c>
      <c r="D330" s="11">
        <f>IFERROR(__xludf.DUMMYFUNCTION("""COMPUTED_VALUE"""),258.74)</f>
        <v>258.74</v>
      </c>
      <c r="E330" s="12">
        <f>IFERROR(__xludf.DUMMYFUNCTION("""COMPUTED_VALUE"""),44305.66666666667)</f>
        <v>44305.66667</v>
      </c>
      <c r="F330" s="11">
        <f>IFERROR(__xludf.DUMMYFUNCTION("""COMPUTED_VALUE"""),238.21)</f>
        <v>238.21</v>
      </c>
      <c r="G330" s="12">
        <f>IFERROR(__xludf.DUMMYFUNCTION("""COMPUTED_VALUE"""),44305.66666666667)</f>
        <v>44305.66667</v>
      </c>
      <c r="H330" s="11">
        <f>IFERROR(__xludf.DUMMYFUNCTION("""COMPUTED_VALUE"""),134.84)</f>
        <v>134.84</v>
      </c>
    </row>
    <row r="331" ht="15.75" customHeight="1">
      <c r="A331" s="12">
        <f>IFERROR(__xludf.DUMMYFUNCTION("""COMPUTED_VALUE"""),44306.66666666667)</f>
        <v>44306.66667</v>
      </c>
      <c r="B331" s="11">
        <f>IFERROR(__xludf.DUMMYFUNCTION("""COMPUTED_VALUE"""),54.17)</f>
        <v>54.17</v>
      </c>
      <c r="C331" s="12">
        <f>IFERROR(__xludf.DUMMYFUNCTION("""COMPUTED_VALUE"""),44306.66666666667)</f>
        <v>44306.66667</v>
      </c>
      <c r="D331" s="11">
        <f>IFERROR(__xludf.DUMMYFUNCTION("""COMPUTED_VALUE"""),258.26)</f>
        <v>258.26</v>
      </c>
      <c r="E331" s="12">
        <f>IFERROR(__xludf.DUMMYFUNCTION("""COMPUTED_VALUE"""),44306.66666666667)</f>
        <v>44306.66667</v>
      </c>
      <c r="F331" s="11">
        <f>IFERROR(__xludf.DUMMYFUNCTION("""COMPUTED_VALUE"""),239.66)</f>
        <v>239.66</v>
      </c>
      <c r="G331" s="12">
        <f>IFERROR(__xludf.DUMMYFUNCTION("""COMPUTED_VALUE"""),44306.66666666667)</f>
        <v>44306.66667</v>
      </c>
      <c r="H331" s="11">
        <f>IFERROR(__xludf.DUMMYFUNCTION("""COMPUTED_VALUE"""),133.11)</f>
        <v>133.11</v>
      </c>
    </row>
    <row r="332" ht="15.75" customHeight="1">
      <c r="A332" s="12">
        <f>IFERROR(__xludf.DUMMYFUNCTION("""COMPUTED_VALUE"""),44307.66666666667)</f>
        <v>44307.66667</v>
      </c>
      <c r="B332" s="11">
        <f>IFERROR(__xludf.DUMMYFUNCTION("""COMPUTED_VALUE"""),54.61)</f>
        <v>54.61</v>
      </c>
      <c r="C332" s="12">
        <f>IFERROR(__xludf.DUMMYFUNCTION("""COMPUTED_VALUE"""),44307.66666666667)</f>
        <v>44307.66667</v>
      </c>
      <c r="D332" s="11">
        <f>IFERROR(__xludf.DUMMYFUNCTION("""COMPUTED_VALUE"""),260.58)</f>
        <v>260.58</v>
      </c>
      <c r="E332" s="12">
        <f>IFERROR(__xludf.DUMMYFUNCTION("""COMPUTED_VALUE"""),44307.66666666667)</f>
        <v>44307.66667</v>
      </c>
      <c r="F332" s="11">
        <f>IFERROR(__xludf.DUMMYFUNCTION("""COMPUTED_VALUE"""),248.04)</f>
        <v>248.04</v>
      </c>
      <c r="G332" s="12">
        <f>IFERROR(__xludf.DUMMYFUNCTION("""COMPUTED_VALUE"""),44307.66666666667)</f>
        <v>44307.66667</v>
      </c>
      <c r="H332" s="11">
        <f>IFERROR(__xludf.DUMMYFUNCTION("""COMPUTED_VALUE"""),133.5)</f>
        <v>133.5</v>
      </c>
    </row>
    <row r="333" ht="15.75" customHeight="1">
      <c r="A333" s="12">
        <f>IFERROR(__xludf.DUMMYFUNCTION("""COMPUTED_VALUE"""),44308.66666666667)</f>
        <v>44308.66667</v>
      </c>
      <c r="B333" s="11">
        <f>IFERROR(__xludf.DUMMYFUNCTION("""COMPUTED_VALUE"""),54.44)</f>
        <v>54.44</v>
      </c>
      <c r="C333" s="12">
        <f>IFERROR(__xludf.DUMMYFUNCTION("""COMPUTED_VALUE"""),44308.66666666667)</f>
        <v>44308.66667</v>
      </c>
      <c r="D333" s="11">
        <f>IFERROR(__xludf.DUMMYFUNCTION("""COMPUTED_VALUE"""),257.17)</f>
        <v>257.17</v>
      </c>
      <c r="E333" s="12">
        <f>IFERROR(__xludf.DUMMYFUNCTION("""COMPUTED_VALUE"""),44308.66666666667)</f>
        <v>44308.66667</v>
      </c>
      <c r="F333" s="11">
        <f>IFERROR(__xludf.DUMMYFUNCTION("""COMPUTED_VALUE"""),239.9)</f>
        <v>239.9</v>
      </c>
      <c r="G333" s="12">
        <f>IFERROR(__xludf.DUMMYFUNCTION("""COMPUTED_VALUE"""),44308.66666666667)</f>
        <v>44308.66667</v>
      </c>
      <c r="H333" s="11">
        <f>IFERROR(__xludf.DUMMYFUNCTION("""COMPUTED_VALUE"""),131.94)</f>
        <v>131.94</v>
      </c>
    </row>
    <row r="334" ht="15.75" customHeight="1">
      <c r="A334" s="12">
        <f>IFERROR(__xludf.DUMMYFUNCTION("""COMPUTED_VALUE"""),44309.66666666667)</f>
        <v>44309.66667</v>
      </c>
      <c r="B334" s="11">
        <f>IFERROR(__xludf.DUMMYFUNCTION("""COMPUTED_VALUE"""),54.47)</f>
        <v>54.47</v>
      </c>
      <c r="C334" s="12">
        <f>IFERROR(__xludf.DUMMYFUNCTION("""COMPUTED_VALUE"""),44309.66666666667)</f>
        <v>44309.66667</v>
      </c>
      <c r="D334" s="11">
        <f>IFERROR(__xludf.DUMMYFUNCTION("""COMPUTED_VALUE"""),261.15)</f>
        <v>261.15</v>
      </c>
      <c r="E334" s="12">
        <f>IFERROR(__xludf.DUMMYFUNCTION("""COMPUTED_VALUE"""),44309.66666666667)</f>
        <v>44309.66667</v>
      </c>
      <c r="F334" s="11">
        <f>IFERROR(__xludf.DUMMYFUNCTION("""COMPUTED_VALUE"""),243.13)</f>
        <v>243.13</v>
      </c>
      <c r="G334" s="12">
        <f>IFERROR(__xludf.DUMMYFUNCTION("""COMPUTED_VALUE"""),44309.66666666667)</f>
        <v>44309.66667</v>
      </c>
      <c r="H334" s="11">
        <f>IFERROR(__xludf.DUMMYFUNCTION("""COMPUTED_VALUE"""),134.32)</f>
        <v>134.32</v>
      </c>
    </row>
    <row r="335" ht="15.75" customHeight="1">
      <c r="A335" s="12">
        <f>IFERROR(__xludf.DUMMYFUNCTION("""COMPUTED_VALUE"""),44312.66666666667)</f>
        <v>44312.66667</v>
      </c>
      <c r="B335" s="11">
        <f>IFERROR(__xludf.DUMMYFUNCTION("""COMPUTED_VALUE"""),53.66)</f>
        <v>53.66</v>
      </c>
      <c r="C335" s="12">
        <f>IFERROR(__xludf.DUMMYFUNCTION("""COMPUTED_VALUE"""),44312.66666666667)</f>
        <v>44312.66667</v>
      </c>
      <c r="D335" s="11">
        <f>IFERROR(__xludf.DUMMYFUNCTION("""COMPUTED_VALUE"""),261.55)</f>
        <v>261.55</v>
      </c>
      <c r="E335" s="12">
        <f>IFERROR(__xludf.DUMMYFUNCTION("""COMPUTED_VALUE"""),44312.66666666667)</f>
        <v>44312.66667</v>
      </c>
      <c r="F335" s="11">
        <f>IFERROR(__xludf.DUMMYFUNCTION("""COMPUTED_VALUE"""),246.07)</f>
        <v>246.07</v>
      </c>
      <c r="G335" s="12">
        <f>IFERROR(__xludf.DUMMYFUNCTION("""COMPUTED_VALUE"""),44312.66666666667)</f>
        <v>44312.66667</v>
      </c>
      <c r="H335" s="11">
        <f>IFERROR(__xludf.DUMMYFUNCTION("""COMPUTED_VALUE"""),134.72)</f>
        <v>134.72</v>
      </c>
    </row>
    <row r="336" ht="15.75" customHeight="1">
      <c r="A336" s="12">
        <f>IFERROR(__xludf.DUMMYFUNCTION("""COMPUTED_VALUE"""),44313.66666666667)</f>
        <v>44313.66667</v>
      </c>
      <c r="B336" s="11">
        <f>IFERROR(__xludf.DUMMYFUNCTION("""COMPUTED_VALUE"""),53.58)</f>
        <v>53.58</v>
      </c>
      <c r="C336" s="12">
        <f>IFERROR(__xludf.DUMMYFUNCTION("""COMPUTED_VALUE"""),44313.66666666667)</f>
        <v>44313.66667</v>
      </c>
      <c r="D336" s="11">
        <f>IFERROR(__xludf.DUMMYFUNCTION("""COMPUTED_VALUE"""),261.97)</f>
        <v>261.97</v>
      </c>
      <c r="E336" s="12">
        <f>IFERROR(__xludf.DUMMYFUNCTION("""COMPUTED_VALUE"""),44313.66666666667)</f>
        <v>44313.66667</v>
      </c>
      <c r="F336" s="11">
        <f>IFERROR(__xludf.DUMMYFUNCTION("""COMPUTED_VALUE"""),234.91)</f>
        <v>234.91</v>
      </c>
      <c r="G336" s="12">
        <f>IFERROR(__xludf.DUMMYFUNCTION("""COMPUTED_VALUE"""),44313.66666666667)</f>
        <v>44313.66667</v>
      </c>
      <c r="H336" s="11">
        <f>IFERROR(__xludf.DUMMYFUNCTION("""COMPUTED_VALUE"""),134.39)</f>
        <v>134.39</v>
      </c>
    </row>
    <row r="337" ht="15.75" customHeight="1">
      <c r="A337" s="12">
        <f>IFERROR(__xludf.DUMMYFUNCTION("""COMPUTED_VALUE"""),44314.66666666667)</f>
        <v>44314.66667</v>
      </c>
      <c r="B337" s="11">
        <f>IFERROR(__xludf.DUMMYFUNCTION("""COMPUTED_VALUE"""),53.59)</f>
        <v>53.59</v>
      </c>
      <c r="C337" s="12">
        <f>IFERROR(__xludf.DUMMYFUNCTION("""COMPUTED_VALUE"""),44314.66666666667)</f>
        <v>44314.66667</v>
      </c>
      <c r="D337" s="11">
        <f>IFERROR(__xludf.DUMMYFUNCTION("""COMPUTED_VALUE"""),254.56)</f>
        <v>254.56</v>
      </c>
      <c r="E337" s="12">
        <f>IFERROR(__xludf.DUMMYFUNCTION("""COMPUTED_VALUE"""),44314.66666666667)</f>
        <v>44314.66667</v>
      </c>
      <c r="F337" s="11">
        <f>IFERROR(__xludf.DUMMYFUNCTION("""COMPUTED_VALUE"""),231.47)</f>
        <v>231.47</v>
      </c>
      <c r="G337" s="12">
        <f>IFERROR(__xludf.DUMMYFUNCTION("""COMPUTED_VALUE"""),44314.66666666667)</f>
        <v>44314.66667</v>
      </c>
      <c r="H337" s="11">
        <f>IFERROR(__xludf.DUMMYFUNCTION("""COMPUTED_VALUE"""),133.58)</f>
        <v>133.58</v>
      </c>
    </row>
    <row r="338" ht="15.75" customHeight="1">
      <c r="A338" s="12">
        <f>IFERROR(__xludf.DUMMYFUNCTION("""COMPUTED_VALUE"""),44315.66666666667)</f>
        <v>44315.66667</v>
      </c>
      <c r="B338" s="11">
        <f>IFERROR(__xludf.DUMMYFUNCTION("""COMPUTED_VALUE"""),54.26)</f>
        <v>54.26</v>
      </c>
      <c r="C338" s="12">
        <f>IFERROR(__xludf.DUMMYFUNCTION("""COMPUTED_VALUE"""),44315.66666666667)</f>
        <v>44315.66667</v>
      </c>
      <c r="D338" s="11">
        <f>IFERROR(__xludf.DUMMYFUNCTION("""COMPUTED_VALUE"""),252.51)</f>
        <v>252.51</v>
      </c>
      <c r="E338" s="12">
        <f>IFERROR(__xludf.DUMMYFUNCTION("""COMPUTED_VALUE"""),44315.66666666667)</f>
        <v>44315.66667</v>
      </c>
      <c r="F338" s="11">
        <f>IFERROR(__xludf.DUMMYFUNCTION("""COMPUTED_VALUE"""),225.67)</f>
        <v>225.67</v>
      </c>
      <c r="G338" s="12">
        <f>IFERROR(__xludf.DUMMYFUNCTION("""COMPUTED_VALUE"""),44315.66666666667)</f>
        <v>44315.66667</v>
      </c>
      <c r="H338" s="11">
        <f>IFERROR(__xludf.DUMMYFUNCTION("""COMPUTED_VALUE"""),133.48)</f>
        <v>133.48</v>
      </c>
    </row>
    <row r="339" ht="15.75" customHeight="1">
      <c r="A339" s="12">
        <f>IFERROR(__xludf.DUMMYFUNCTION("""COMPUTED_VALUE"""),44316.66666666667)</f>
        <v>44316.66667</v>
      </c>
      <c r="B339" s="11">
        <f>IFERROR(__xludf.DUMMYFUNCTION("""COMPUTED_VALUE"""),53.98)</f>
        <v>53.98</v>
      </c>
      <c r="C339" s="12">
        <f>IFERROR(__xludf.DUMMYFUNCTION("""COMPUTED_VALUE"""),44316.66666666667)</f>
        <v>44316.66667</v>
      </c>
      <c r="D339" s="11">
        <f>IFERROR(__xludf.DUMMYFUNCTION("""COMPUTED_VALUE"""),252.18)</f>
        <v>252.18</v>
      </c>
      <c r="E339" s="12">
        <f>IFERROR(__xludf.DUMMYFUNCTION("""COMPUTED_VALUE"""),44316.66666666667)</f>
        <v>44316.66667</v>
      </c>
      <c r="F339" s="11">
        <f>IFERROR(__xludf.DUMMYFUNCTION("""COMPUTED_VALUE"""),236.48)</f>
        <v>236.48</v>
      </c>
      <c r="G339" s="12">
        <f>IFERROR(__xludf.DUMMYFUNCTION("""COMPUTED_VALUE"""),44316.66666666667)</f>
        <v>44316.66667</v>
      </c>
      <c r="H339" s="11">
        <f>IFERROR(__xludf.DUMMYFUNCTION("""COMPUTED_VALUE"""),131.46)</f>
        <v>131.46</v>
      </c>
    </row>
    <row r="340" ht="15.75" customHeight="1">
      <c r="A340" s="12">
        <f>IFERROR(__xludf.DUMMYFUNCTION("""COMPUTED_VALUE"""),44319.66666666667)</f>
        <v>44319.66667</v>
      </c>
      <c r="B340" s="11">
        <f>IFERROR(__xludf.DUMMYFUNCTION("""COMPUTED_VALUE"""),54.48)</f>
        <v>54.48</v>
      </c>
      <c r="C340" s="12">
        <f>IFERROR(__xludf.DUMMYFUNCTION("""COMPUTED_VALUE"""),44319.66666666667)</f>
        <v>44319.66667</v>
      </c>
      <c r="D340" s="11">
        <f>IFERROR(__xludf.DUMMYFUNCTION("""COMPUTED_VALUE"""),251.86)</f>
        <v>251.86</v>
      </c>
      <c r="E340" s="12">
        <f>IFERROR(__xludf.DUMMYFUNCTION("""COMPUTED_VALUE"""),44319.66666666667)</f>
        <v>44319.66667</v>
      </c>
      <c r="F340" s="11">
        <f>IFERROR(__xludf.DUMMYFUNCTION("""COMPUTED_VALUE"""),228.3)</f>
        <v>228.3</v>
      </c>
      <c r="G340" s="12">
        <f>IFERROR(__xludf.DUMMYFUNCTION("""COMPUTED_VALUE"""),44319.66666666667)</f>
        <v>44319.66667</v>
      </c>
      <c r="H340" s="11">
        <f>IFERROR(__xludf.DUMMYFUNCTION("""COMPUTED_VALUE"""),132.54)</f>
        <v>132.54</v>
      </c>
    </row>
    <row r="341" ht="15.75" customHeight="1">
      <c r="A341" s="12">
        <f>IFERROR(__xludf.DUMMYFUNCTION("""COMPUTED_VALUE"""),44320.66666666667)</f>
        <v>44320.66667</v>
      </c>
      <c r="B341" s="11">
        <f>IFERROR(__xludf.DUMMYFUNCTION("""COMPUTED_VALUE"""),54.14)</f>
        <v>54.14</v>
      </c>
      <c r="C341" s="12">
        <f>IFERROR(__xludf.DUMMYFUNCTION("""COMPUTED_VALUE"""),44320.66666666667)</f>
        <v>44320.66667</v>
      </c>
      <c r="D341" s="11">
        <f>IFERROR(__xludf.DUMMYFUNCTION("""COMPUTED_VALUE"""),247.79)</f>
        <v>247.79</v>
      </c>
      <c r="E341" s="12">
        <f>IFERROR(__xludf.DUMMYFUNCTION("""COMPUTED_VALUE"""),44320.66666666667)</f>
        <v>44320.66667</v>
      </c>
      <c r="F341" s="11">
        <f>IFERROR(__xludf.DUMMYFUNCTION("""COMPUTED_VALUE"""),224.53)</f>
        <v>224.53</v>
      </c>
      <c r="G341" s="12">
        <f>IFERROR(__xludf.DUMMYFUNCTION("""COMPUTED_VALUE"""),44320.66666666667)</f>
        <v>44320.66667</v>
      </c>
      <c r="H341" s="11">
        <f>IFERROR(__xludf.DUMMYFUNCTION("""COMPUTED_VALUE"""),127.85)</f>
        <v>127.85</v>
      </c>
    </row>
    <row r="342" ht="15.75" customHeight="1">
      <c r="A342" s="12">
        <f>IFERROR(__xludf.DUMMYFUNCTION("""COMPUTED_VALUE"""),44321.66666666667)</f>
        <v>44321.66667</v>
      </c>
      <c r="B342" s="11">
        <f>IFERROR(__xludf.DUMMYFUNCTION("""COMPUTED_VALUE"""),54.0)</f>
        <v>54</v>
      </c>
      <c r="C342" s="12">
        <f>IFERROR(__xludf.DUMMYFUNCTION("""COMPUTED_VALUE"""),44321.66666666667)</f>
        <v>44321.66667</v>
      </c>
      <c r="D342" s="11">
        <f>IFERROR(__xludf.DUMMYFUNCTION("""COMPUTED_VALUE"""),246.47)</f>
        <v>246.47</v>
      </c>
      <c r="E342" s="12">
        <f>IFERROR(__xludf.DUMMYFUNCTION("""COMPUTED_VALUE"""),44321.66666666667)</f>
        <v>44321.66667</v>
      </c>
      <c r="F342" s="11">
        <f>IFERROR(__xludf.DUMMYFUNCTION("""COMPUTED_VALUE"""),223.65)</f>
        <v>223.65</v>
      </c>
      <c r="G342" s="12">
        <f>IFERROR(__xludf.DUMMYFUNCTION("""COMPUTED_VALUE"""),44321.66666666667)</f>
        <v>44321.66667</v>
      </c>
      <c r="H342" s="11">
        <f>IFERROR(__xludf.DUMMYFUNCTION("""COMPUTED_VALUE"""),128.1)</f>
        <v>128.1</v>
      </c>
    </row>
    <row r="343" ht="15.75" customHeight="1">
      <c r="A343" s="12">
        <f>IFERROR(__xludf.DUMMYFUNCTION("""COMPUTED_VALUE"""),44322.66666666667)</f>
        <v>44322.66667</v>
      </c>
      <c r="B343" s="11">
        <f>IFERROR(__xludf.DUMMYFUNCTION("""COMPUTED_VALUE"""),54.54)</f>
        <v>54.54</v>
      </c>
      <c r="C343" s="12">
        <f>IFERROR(__xludf.DUMMYFUNCTION("""COMPUTED_VALUE"""),44322.66666666667)</f>
        <v>44322.66667</v>
      </c>
      <c r="D343" s="11">
        <f>IFERROR(__xludf.DUMMYFUNCTION("""COMPUTED_VALUE"""),249.73)</f>
        <v>249.73</v>
      </c>
      <c r="E343" s="12">
        <f>IFERROR(__xludf.DUMMYFUNCTION("""COMPUTED_VALUE"""),44322.66666666667)</f>
        <v>44322.66667</v>
      </c>
      <c r="F343" s="11">
        <f>IFERROR(__xludf.DUMMYFUNCTION("""COMPUTED_VALUE"""),221.18)</f>
        <v>221.18</v>
      </c>
      <c r="G343" s="12">
        <f>IFERROR(__xludf.DUMMYFUNCTION("""COMPUTED_VALUE"""),44322.66666666667)</f>
        <v>44322.66667</v>
      </c>
      <c r="H343" s="11">
        <f>IFERROR(__xludf.DUMMYFUNCTION("""COMPUTED_VALUE"""),129.74)</f>
        <v>129.74</v>
      </c>
    </row>
    <row r="344" ht="15.75" customHeight="1">
      <c r="A344" s="12">
        <f>IFERROR(__xludf.DUMMYFUNCTION("""COMPUTED_VALUE"""),44323.66666666667)</f>
        <v>44323.66667</v>
      </c>
      <c r="B344" s="11">
        <f>IFERROR(__xludf.DUMMYFUNCTION("""COMPUTED_VALUE"""),54.51)</f>
        <v>54.51</v>
      </c>
      <c r="C344" s="12">
        <f>IFERROR(__xludf.DUMMYFUNCTION("""COMPUTED_VALUE"""),44323.66666666667)</f>
        <v>44323.66667</v>
      </c>
      <c r="D344" s="11">
        <f>IFERROR(__xludf.DUMMYFUNCTION("""COMPUTED_VALUE"""),252.46)</f>
        <v>252.46</v>
      </c>
      <c r="E344" s="12">
        <f>IFERROR(__xludf.DUMMYFUNCTION("""COMPUTED_VALUE"""),44323.66666666667)</f>
        <v>44323.66667</v>
      </c>
      <c r="F344" s="11">
        <f>IFERROR(__xludf.DUMMYFUNCTION("""COMPUTED_VALUE"""),224.12)</f>
        <v>224.12</v>
      </c>
      <c r="G344" s="12">
        <f>IFERROR(__xludf.DUMMYFUNCTION("""COMPUTED_VALUE"""),44323.66666666667)</f>
        <v>44323.66667</v>
      </c>
      <c r="H344" s="11">
        <f>IFERROR(__xludf.DUMMYFUNCTION("""COMPUTED_VALUE"""),130.21)</f>
        <v>130.21</v>
      </c>
    </row>
    <row r="345" ht="15.75" customHeight="1">
      <c r="A345" s="12">
        <f>IFERROR(__xludf.DUMMYFUNCTION("""COMPUTED_VALUE"""),44326.66666666667)</f>
        <v>44326.66667</v>
      </c>
      <c r="B345" s="11">
        <f>IFERROR(__xludf.DUMMYFUNCTION("""COMPUTED_VALUE"""),54.91)</f>
        <v>54.91</v>
      </c>
      <c r="C345" s="12">
        <f>IFERROR(__xludf.DUMMYFUNCTION("""COMPUTED_VALUE"""),44326.66666666667)</f>
        <v>44326.66667</v>
      </c>
      <c r="D345" s="11">
        <f>IFERROR(__xludf.DUMMYFUNCTION("""COMPUTED_VALUE"""),247.18)</f>
        <v>247.18</v>
      </c>
      <c r="E345" s="12">
        <f>IFERROR(__xludf.DUMMYFUNCTION("""COMPUTED_VALUE"""),44326.66666666667)</f>
        <v>44326.66667</v>
      </c>
      <c r="F345" s="11">
        <f>IFERROR(__xludf.DUMMYFUNCTION("""COMPUTED_VALUE"""),209.68)</f>
        <v>209.68</v>
      </c>
      <c r="G345" s="12">
        <f>IFERROR(__xludf.DUMMYFUNCTION("""COMPUTED_VALUE"""),44326.66666666667)</f>
        <v>44326.66667</v>
      </c>
      <c r="H345" s="11">
        <f>IFERROR(__xludf.DUMMYFUNCTION("""COMPUTED_VALUE"""),126.85)</f>
        <v>126.85</v>
      </c>
    </row>
    <row r="346" ht="15.75" customHeight="1">
      <c r="A346" s="12">
        <f>IFERROR(__xludf.DUMMYFUNCTION("""COMPUTED_VALUE"""),44327.66666666667)</f>
        <v>44327.66667</v>
      </c>
      <c r="B346" s="11">
        <f>IFERROR(__xludf.DUMMYFUNCTION("""COMPUTED_VALUE"""),54.32)</f>
        <v>54.32</v>
      </c>
      <c r="C346" s="12">
        <f>IFERROR(__xludf.DUMMYFUNCTION("""COMPUTED_VALUE"""),44327.66666666667)</f>
        <v>44327.66667</v>
      </c>
      <c r="D346" s="11">
        <f>IFERROR(__xludf.DUMMYFUNCTION("""COMPUTED_VALUE"""),246.23)</f>
        <v>246.23</v>
      </c>
      <c r="E346" s="12">
        <f>IFERROR(__xludf.DUMMYFUNCTION("""COMPUTED_VALUE"""),44327.66666666667)</f>
        <v>44327.66667</v>
      </c>
      <c r="F346" s="11">
        <f>IFERROR(__xludf.DUMMYFUNCTION("""COMPUTED_VALUE"""),205.73)</f>
        <v>205.73</v>
      </c>
      <c r="G346" s="12">
        <f>IFERROR(__xludf.DUMMYFUNCTION("""COMPUTED_VALUE"""),44327.66666666667)</f>
        <v>44327.66667</v>
      </c>
      <c r="H346" s="11">
        <f>IFERROR(__xludf.DUMMYFUNCTION("""COMPUTED_VALUE"""),125.91)</f>
        <v>125.91</v>
      </c>
    </row>
    <row r="347" ht="15.75" customHeight="1">
      <c r="A347" s="12">
        <f>IFERROR(__xludf.DUMMYFUNCTION("""COMPUTED_VALUE"""),44328.66666666667)</f>
        <v>44328.66667</v>
      </c>
      <c r="B347" s="11">
        <f>IFERROR(__xludf.DUMMYFUNCTION("""COMPUTED_VALUE"""),54.04)</f>
        <v>54.04</v>
      </c>
      <c r="C347" s="12">
        <f>IFERROR(__xludf.DUMMYFUNCTION("""COMPUTED_VALUE"""),44328.66666666667)</f>
        <v>44328.66667</v>
      </c>
      <c r="D347" s="11">
        <f>IFERROR(__xludf.DUMMYFUNCTION("""COMPUTED_VALUE"""),239.0)</f>
        <v>239</v>
      </c>
      <c r="E347" s="12">
        <f>IFERROR(__xludf.DUMMYFUNCTION("""COMPUTED_VALUE"""),44328.66666666667)</f>
        <v>44328.66667</v>
      </c>
      <c r="F347" s="11">
        <f>IFERROR(__xludf.DUMMYFUNCTION("""COMPUTED_VALUE"""),196.63)</f>
        <v>196.63</v>
      </c>
      <c r="G347" s="12">
        <f>IFERROR(__xludf.DUMMYFUNCTION("""COMPUTED_VALUE"""),44328.66666666667)</f>
        <v>44328.66667</v>
      </c>
      <c r="H347" s="11">
        <f>IFERROR(__xludf.DUMMYFUNCTION("""COMPUTED_VALUE"""),122.77)</f>
        <v>122.77</v>
      </c>
    </row>
    <row r="348" ht="15.75" customHeight="1">
      <c r="A348" s="12">
        <f>IFERROR(__xludf.DUMMYFUNCTION("""COMPUTED_VALUE"""),44329.66666666667)</f>
        <v>44329.66667</v>
      </c>
      <c r="B348" s="11">
        <f>IFERROR(__xludf.DUMMYFUNCTION("""COMPUTED_VALUE"""),54.51)</f>
        <v>54.51</v>
      </c>
      <c r="C348" s="12">
        <f>IFERROR(__xludf.DUMMYFUNCTION("""COMPUTED_VALUE"""),44329.66666666667)</f>
        <v>44329.66667</v>
      </c>
      <c r="D348" s="11">
        <f>IFERROR(__xludf.DUMMYFUNCTION("""COMPUTED_VALUE"""),243.03)</f>
        <v>243.03</v>
      </c>
      <c r="E348" s="12">
        <f>IFERROR(__xludf.DUMMYFUNCTION("""COMPUTED_VALUE"""),44329.66666666667)</f>
        <v>44329.66667</v>
      </c>
      <c r="F348" s="11">
        <f>IFERROR(__xludf.DUMMYFUNCTION("""COMPUTED_VALUE"""),190.56)</f>
        <v>190.56</v>
      </c>
      <c r="G348" s="12">
        <f>IFERROR(__xludf.DUMMYFUNCTION("""COMPUTED_VALUE"""),44329.66666666667)</f>
        <v>44329.66667</v>
      </c>
      <c r="H348" s="11">
        <f>IFERROR(__xludf.DUMMYFUNCTION("""COMPUTED_VALUE"""),124.97)</f>
        <v>124.97</v>
      </c>
    </row>
    <row r="349" ht="15.75" customHeight="1">
      <c r="A349" s="12">
        <f>IFERROR(__xludf.DUMMYFUNCTION("""COMPUTED_VALUE"""),44330.66666666667)</f>
        <v>44330.66667</v>
      </c>
      <c r="B349" s="11">
        <f>IFERROR(__xludf.DUMMYFUNCTION("""COMPUTED_VALUE"""),54.73)</f>
        <v>54.73</v>
      </c>
      <c r="C349" s="12">
        <f>IFERROR(__xludf.DUMMYFUNCTION("""COMPUTED_VALUE"""),44330.66666666667)</f>
        <v>44330.66667</v>
      </c>
      <c r="D349" s="11">
        <f>IFERROR(__xludf.DUMMYFUNCTION("""COMPUTED_VALUE"""),248.15)</f>
        <v>248.15</v>
      </c>
      <c r="E349" s="12">
        <f>IFERROR(__xludf.DUMMYFUNCTION("""COMPUTED_VALUE"""),44330.66666666667)</f>
        <v>44330.66667</v>
      </c>
      <c r="F349" s="11">
        <f>IFERROR(__xludf.DUMMYFUNCTION("""COMPUTED_VALUE"""),196.58)</f>
        <v>196.58</v>
      </c>
      <c r="G349" s="12">
        <f>IFERROR(__xludf.DUMMYFUNCTION("""COMPUTED_VALUE"""),44330.66666666667)</f>
        <v>44330.66667</v>
      </c>
      <c r="H349" s="11">
        <f>IFERROR(__xludf.DUMMYFUNCTION("""COMPUTED_VALUE"""),127.45)</f>
        <v>127.45</v>
      </c>
    </row>
    <row r="350" ht="15.75" customHeight="1">
      <c r="A350" s="12">
        <f>IFERROR(__xludf.DUMMYFUNCTION("""COMPUTED_VALUE"""),44333.66666666667)</f>
        <v>44333.66667</v>
      </c>
      <c r="B350" s="11">
        <f>IFERROR(__xludf.DUMMYFUNCTION("""COMPUTED_VALUE"""),54.64)</f>
        <v>54.64</v>
      </c>
      <c r="C350" s="12">
        <f>IFERROR(__xludf.DUMMYFUNCTION("""COMPUTED_VALUE"""),44333.66666666667)</f>
        <v>44333.66667</v>
      </c>
      <c r="D350" s="11">
        <f>IFERROR(__xludf.DUMMYFUNCTION("""COMPUTED_VALUE"""),245.18)</f>
        <v>245.18</v>
      </c>
      <c r="E350" s="12">
        <f>IFERROR(__xludf.DUMMYFUNCTION("""COMPUTED_VALUE"""),44333.66666666667)</f>
        <v>44333.66667</v>
      </c>
      <c r="F350" s="11">
        <f>IFERROR(__xludf.DUMMYFUNCTION("""COMPUTED_VALUE"""),192.28)</f>
        <v>192.28</v>
      </c>
      <c r="G350" s="12">
        <f>IFERROR(__xludf.DUMMYFUNCTION("""COMPUTED_VALUE"""),44333.66666666667)</f>
        <v>44333.66667</v>
      </c>
      <c r="H350" s="11">
        <f>IFERROR(__xludf.DUMMYFUNCTION("""COMPUTED_VALUE"""),126.27)</f>
        <v>126.27</v>
      </c>
    </row>
    <row r="351" ht="15.75" customHeight="1">
      <c r="A351" s="12">
        <f>IFERROR(__xludf.DUMMYFUNCTION("""COMPUTED_VALUE"""),44334.66666666667)</f>
        <v>44334.66667</v>
      </c>
      <c r="B351" s="11">
        <f>IFERROR(__xludf.DUMMYFUNCTION("""COMPUTED_VALUE"""),54.34)</f>
        <v>54.34</v>
      </c>
      <c r="C351" s="12">
        <f>IFERROR(__xludf.DUMMYFUNCTION("""COMPUTED_VALUE"""),44334.66666666667)</f>
        <v>44334.66667</v>
      </c>
      <c r="D351" s="11">
        <f>IFERROR(__xludf.DUMMYFUNCTION("""COMPUTED_VALUE"""),243.08)</f>
        <v>243.08</v>
      </c>
      <c r="E351" s="12">
        <f>IFERROR(__xludf.DUMMYFUNCTION("""COMPUTED_VALUE"""),44334.66666666667)</f>
        <v>44334.66667</v>
      </c>
      <c r="F351" s="11">
        <f>IFERROR(__xludf.DUMMYFUNCTION("""COMPUTED_VALUE"""),192.62)</f>
        <v>192.62</v>
      </c>
      <c r="G351" s="12">
        <f>IFERROR(__xludf.DUMMYFUNCTION("""COMPUTED_VALUE"""),44334.66666666667)</f>
        <v>44334.66667</v>
      </c>
      <c r="H351" s="11">
        <f>IFERROR(__xludf.DUMMYFUNCTION("""COMPUTED_VALUE"""),124.85)</f>
        <v>124.85</v>
      </c>
    </row>
    <row r="352" ht="15.75" customHeight="1">
      <c r="A352" s="12">
        <f>IFERROR(__xludf.DUMMYFUNCTION("""COMPUTED_VALUE"""),44335.66666666667)</f>
        <v>44335.66667</v>
      </c>
      <c r="B352" s="11">
        <f>IFERROR(__xludf.DUMMYFUNCTION("""COMPUTED_VALUE"""),54.17)</f>
        <v>54.17</v>
      </c>
      <c r="C352" s="12">
        <f>IFERROR(__xludf.DUMMYFUNCTION("""COMPUTED_VALUE"""),44335.66666666667)</f>
        <v>44335.66667</v>
      </c>
      <c r="D352" s="11">
        <f>IFERROR(__xludf.DUMMYFUNCTION("""COMPUTED_VALUE"""),243.12)</f>
        <v>243.12</v>
      </c>
      <c r="E352" s="12">
        <f>IFERROR(__xludf.DUMMYFUNCTION("""COMPUTED_VALUE"""),44335.66666666667)</f>
        <v>44335.66667</v>
      </c>
      <c r="F352" s="11">
        <f>IFERROR(__xludf.DUMMYFUNCTION("""COMPUTED_VALUE"""),187.82)</f>
        <v>187.82</v>
      </c>
      <c r="G352" s="12">
        <f>IFERROR(__xludf.DUMMYFUNCTION("""COMPUTED_VALUE"""),44335.66666666667)</f>
        <v>44335.66667</v>
      </c>
      <c r="H352" s="11">
        <f>IFERROR(__xludf.DUMMYFUNCTION("""COMPUTED_VALUE"""),124.69)</f>
        <v>124.69</v>
      </c>
    </row>
    <row r="353" ht="15.75" customHeight="1">
      <c r="A353" s="12">
        <f>IFERROR(__xludf.DUMMYFUNCTION("""COMPUTED_VALUE"""),44336.66666666667)</f>
        <v>44336.66667</v>
      </c>
      <c r="B353" s="11">
        <f>IFERROR(__xludf.DUMMYFUNCTION("""COMPUTED_VALUE"""),54.65)</f>
        <v>54.65</v>
      </c>
      <c r="C353" s="12">
        <f>IFERROR(__xludf.DUMMYFUNCTION("""COMPUTED_VALUE"""),44336.66666666667)</f>
        <v>44336.66667</v>
      </c>
      <c r="D353" s="11">
        <f>IFERROR(__xludf.DUMMYFUNCTION("""COMPUTED_VALUE"""),246.48)</f>
        <v>246.48</v>
      </c>
      <c r="E353" s="12">
        <f>IFERROR(__xludf.DUMMYFUNCTION("""COMPUTED_VALUE"""),44336.66666666667)</f>
        <v>44336.66667</v>
      </c>
      <c r="F353" s="11">
        <f>IFERROR(__xludf.DUMMYFUNCTION("""COMPUTED_VALUE"""),195.59)</f>
        <v>195.59</v>
      </c>
      <c r="G353" s="12">
        <f>IFERROR(__xludf.DUMMYFUNCTION("""COMPUTED_VALUE"""),44336.66666666667)</f>
        <v>44336.66667</v>
      </c>
      <c r="H353" s="11">
        <f>IFERROR(__xludf.DUMMYFUNCTION("""COMPUTED_VALUE"""),127.31)</f>
        <v>127.31</v>
      </c>
    </row>
    <row r="354" ht="15.75" customHeight="1">
      <c r="A354" s="12">
        <f>IFERROR(__xludf.DUMMYFUNCTION("""COMPUTED_VALUE"""),44337.66666666667)</f>
        <v>44337.66667</v>
      </c>
      <c r="B354" s="11">
        <f>IFERROR(__xludf.DUMMYFUNCTION("""COMPUTED_VALUE"""),54.62)</f>
        <v>54.62</v>
      </c>
      <c r="C354" s="12">
        <f>IFERROR(__xludf.DUMMYFUNCTION("""COMPUTED_VALUE"""),44337.66666666667)</f>
        <v>44337.66667</v>
      </c>
      <c r="D354" s="11">
        <f>IFERROR(__xludf.DUMMYFUNCTION("""COMPUTED_VALUE"""),245.17)</f>
        <v>245.17</v>
      </c>
      <c r="E354" s="12">
        <f>IFERROR(__xludf.DUMMYFUNCTION("""COMPUTED_VALUE"""),44337.66666666667)</f>
        <v>44337.66667</v>
      </c>
      <c r="F354" s="11">
        <f>IFERROR(__xludf.DUMMYFUNCTION("""COMPUTED_VALUE"""),193.63)</f>
        <v>193.63</v>
      </c>
      <c r="G354" s="12">
        <f>IFERROR(__xludf.DUMMYFUNCTION("""COMPUTED_VALUE"""),44337.66666666667)</f>
        <v>44337.66667</v>
      </c>
      <c r="H354" s="11">
        <f>IFERROR(__xludf.DUMMYFUNCTION("""COMPUTED_VALUE"""),125.43)</f>
        <v>125.43</v>
      </c>
    </row>
    <row r="355" ht="15.75" customHeight="1">
      <c r="A355" s="12">
        <f>IFERROR(__xludf.DUMMYFUNCTION("""COMPUTED_VALUE"""),44340.66666666667)</f>
        <v>44340.66667</v>
      </c>
      <c r="B355" s="11">
        <f>IFERROR(__xludf.DUMMYFUNCTION("""COMPUTED_VALUE"""),54.8)</f>
        <v>54.8</v>
      </c>
      <c r="C355" s="12">
        <f>IFERROR(__xludf.DUMMYFUNCTION("""COMPUTED_VALUE"""),44340.66666666667)</f>
        <v>44340.66667</v>
      </c>
      <c r="D355" s="11">
        <f>IFERROR(__xludf.DUMMYFUNCTION("""COMPUTED_VALUE"""),250.78)</f>
        <v>250.78</v>
      </c>
      <c r="E355" s="12">
        <f>IFERROR(__xludf.DUMMYFUNCTION("""COMPUTED_VALUE"""),44340.66666666667)</f>
        <v>44340.66667</v>
      </c>
      <c r="F355" s="11">
        <f>IFERROR(__xludf.DUMMYFUNCTION("""COMPUTED_VALUE"""),202.15)</f>
        <v>202.15</v>
      </c>
      <c r="G355" s="12">
        <f>IFERROR(__xludf.DUMMYFUNCTION("""COMPUTED_VALUE"""),44340.66666666667)</f>
        <v>44340.66667</v>
      </c>
      <c r="H355" s="11">
        <f>IFERROR(__xludf.DUMMYFUNCTION("""COMPUTED_VALUE"""),127.1)</f>
        <v>127.1</v>
      </c>
    </row>
    <row r="356" ht="15.75" customHeight="1">
      <c r="A356" s="12">
        <f>IFERROR(__xludf.DUMMYFUNCTION("""COMPUTED_VALUE"""),44341.66666666667)</f>
        <v>44341.66667</v>
      </c>
      <c r="B356" s="11">
        <f>IFERROR(__xludf.DUMMYFUNCTION("""COMPUTED_VALUE"""),54.79)</f>
        <v>54.79</v>
      </c>
      <c r="C356" s="12">
        <f>IFERROR(__xludf.DUMMYFUNCTION("""COMPUTED_VALUE"""),44341.66666666667)</f>
        <v>44341.66667</v>
      </c>
      <c r="D356" s="11">
        <f>IFERROR(__xludf.DUMMYFUNCTION("""COMPUTED_VALUE"""),251.72)</f>
        <v>251.72</v>
      </c>
      <c r="E356" s="12">
        <f>IFERROR(__xludf.DUMMYFUNCTION("""COMPUTED_VALUE"""),44341.66666666667)</f>
        <v>44341.66667</v>
      </c>
      <c r="F356" s="11">
        <f>IFERROR(__xludf.DUMMYFUNCTION("""COMPUTED_VALUE"""),201.56)</f>
        <v>201.56</v>
      </c>
      <c r="G356" s="12">
        <f>IFERROR(__xludf.DUMMYFUNCTION("""COMPUTED_VALUE"""),44341.66666666667)</f>
        <v>44341.66667</v>
      </c>
      <c r="H356" s="11">
        <f>IFERROR(__xludf.DUMMYFUNCTION("""COMPUTED_VALUE"""),126.9)</f>
        <v>126.9</v>
      </c>
    </row>
    <row r="357" ht="15.75" customHeight="1">
      <c r="A357" s="12">
        <f>IFERROR(__xludf.DUMMYFUNCTION("""COMPUTED_VALUE"""),44342.66666666667)</f>
        <v>44342.66667</v>
      </c>
      <c r="B357" s="11">
        <f>IFERROR(__xludf.DUMMYFUNCTION("""COMPUTED_VALUE"""),55.03)</f>
        <v>55.03</v>
      </c>
      <c r="C357" s="12">
        <f>IFERROR(__xludf.DUMMYFUNCTION("""COMPUTED_VALUE"""),44342.66666666667)</f>
        <v>44342.66667</v>
      </c>
      <c r="D357" s="11">
        <f>IFERROR(__xludf.DUMMYFUNCTION("""COMPUTED_VALUE"""),251.49)</f>
        <v>251.49</v>
      </c>
      <c r="E357" s="12">
        <f>IFERROR(__xludf.DUMMYFUNCTION("""COMPUTED_VALUE"""),44342.66666666667)</f>
        <v>44342.66667</v>
      </c>
      <c r="F357" s="11">
        <f>IFERROR(__xludf.DUMMYFUNCTION("""COMPUTED_VALUE"""),206.38)</f>
        <v>206.38</v>
      </c>
      <c r="G357" s="12">
        <f>IFERROR(__xludf.DUMMYFUNCTION("""COMPUTED_VALUE"""),44342.66666666667)</f>
        <v>44342.66667</v>
      </c>
      <c r="H357" s="11">
        <f>IFERROR(__xludf.DUMMYFUNCTION("""COMPUTED_VALUE"""),126.85)</f>
        <v>126.85</v>
      </c>
    </row>
    <row r="358" ht="15.75" customHeight="1">
      <c r="A358" s="12">
        <f>IFERROR(__xludf.DUMMYFUNCTION("""COMPUTED_VALUE"""),44343.66666666667)</f>
        <v>44343.66667</v>
      </c>
      <c r="B358" s="11">
        <f>IFERROR(__xludf.DUMMYFUNCTION("""COMPUTED_VALUE"""),55.49)</f>
        <v>55.49</v>
      </c>
      <c r="C358" s="12">
        <f>IFERROR(__xludf.DUMMYFUNCTION("""COMPUTED_VALUE"""),44343.66666666667)</f>
        <v>44343.66667</v>
      </c>
      <c r="D358" s="11">
        <f>IFERROR(__xludf.DUMMYFUNCTION("""COMPUTED_VALUE"""),249.31)</f>
        <v>249.31</v>
      </c>
      <c r="E358" s="12">
        <f>IFERROR(__xludf.DUMMYFUNCTION("""COMPUTED_VALUE"""),44343.66666666667)</f>
        <v>44343.66667</v>
      </c>
      <c r="F358" s="11">
        <f>IFERROR(__xludf.DUMMYFUNCTION("""COMPUTED_VALUE"""),210.28)</f>
        <v>210.28</v>
      </c>
      <c r="G358" s="12">
        <f>IFERROR(__xludf.DUMMYFUNCTION("""COMPUTED_VALUE"""),44343.66666666667)</f>
        <v>44343.66667</v>
      </c>
      <c r="H358" s="11">
        <f>IFERROR(__xludf.DUMMYFUNCTION("""COMPUTED_VALUE"""),125.28)</f>
        <v>125.28</v>
      </c>
    </row>
    <row r="359" ht="15.75" customHeight="1">
      <c r="A359" s="12">
        <f>IFERROR(__xludf.DUMMYFUNCTION("""COMPUTED_VALUE"""),44344.66666666667)</f>
        <v>44344.66667</v>
      </c>
      <c r="B359" s="11">
        <f>IFERROR(__xludf.DUMMYFUNCTION("""COMPUTED_VALUE"""),55.29)</f>
        <v>55.29</v>
      </c>
      <c r="C359" s="12">
        <f>IFERROR(__xludf.DUMMYFUNCTION("""COMPUTED_VALUE"""),44344.66666666667)</f>
        <v>44344.66667</v>
      </c>
      <c r="D359" s="11">
        <f>IFERROR(__xludf.DUMMYFUNCTION("""COMPUTED_VALUE"""),249.68)</f>
        <v>249.68</v>
      </c>
      <c r="E359" s="12">
        <f>IFERROR(__xludf.DUMMYFUNCTION("""COMPUTED_VALUE"""),44344.66666666667)</f>
        <v>44344.66667</v>
      </c>
      <c r="F359" s="11">
        <f>IFERROR(__xludf.DUMMYFUNCTION("""COMPUTED_VALUE"""),208.41)</f>
        <v>208.41</v>
      </c>
      <c r="G359" s="12">
        <f>IFERROR(__xludf.DUMMYFUNCTION("""COMPUTED_VALUE"""),44344.66666666667)</f>
        <v>44344.66667</v>
      </c>
      <c r="H359" s="11">
        <f>IFERROR(__xludf.DUMMYFUNCTION("""COMPUTED_VALUE"""),124.61)</f>
        <v>124.61</v>
      </c>
    </row>
    <row r="360" ht="15.75" customHeight="1">
      <c r="A360" s="12">
        <f>IFERROR(__xludf.DUMMYFUNCTION("""COMPUTED_VALUE"""),44348.66666666667)</f>
        <v>44348.66667</v>
      </c>
      <c r="B360" s="11">
        <f>IFERROR(__xludf.DUMMYFUNCTION("""COMPUTED_VALUE"""),55.28)</f>
        <v>55.28</v>
      </c>
      <c r="C360" s="12">
        <f>IFERROR(__xludf.DUMMYFUNCTION("""COMPUTED_VALUE"""),44348.66666666667)</f>
        <v>44348.66667</v>
      </c>
      <c r="D360" s="11">
        <f>IFERROR(__xludf.DUMMYFUNCTION("""COMPUTED_VALUE"""),247.4)</f>
        <v>247.4</v>
      </c>
      <c r="E360" s="12">
        <f>IFERROR(__xludf.DUMMYFUNCTION("""COMPUTED_VALUE"""),44348.66666666667)</f>
        <v>44348.66667</v>
      </c>
      <c r="F360" s="11">
        <f>IFERROR(__xludf.DUMMYFUNCTION("""COMPUTED_VALUE"""),207.97)</f>
        <v>207.97</v>
      </c>
      <c r="G360" s="12">
        <f>IFERROR(__xludf.DUMMYFUNCTION("""COMPUTED_VALUE"""),44348.66666666667)</f>
        <v>44348.66667</v>
      </c>
      <c r="H360" s="11">
        <f>IFERROR(__xludf.DUMMYFUNCTION("""COMPUTED_VALUE"""),124.28)</f>
        <v>124.28</v>
      </c>
    </row>
    <row r="361" ht="15.75" customHeight="1">
      <c r="A361" s="12">
        <f>IFERROR(__xludf.DUMMYFUNCTION("""COMPUTED_VALUE"""),44349.66666666667)</f>
        <v>44349.66667</v>
      </c>
      <c r="B361" s="11">
        <f>IFERROR(__xludf.DUMMYFUNCTION("""COMPUTED_VALUE"""),55.5)</f>
        <v>55.5</v>
      </c>
      <c r="C361" s="12">
        <f>IFERROR(__xludf.DUMMYFUNCTION("""COMPUTED_VALUE"""),44349.66666666667)</f>
        <v>44349.66667</v>
      </c>
      <c r="D361" s="11">
        <f>IFERROR(__xludf.DUMMYFUNCTION("""COMPUTED_VALUE"""),247.3)</f>
        <v>247.3</v>
      </c>
      <c r="E361" s="12">
        <f>IFERROR(__xludf.DUMMYFUNCTION("""COMPUTED_VALUE"""),44349.66666666667)</f>
        <v>44349.66667</v>
      </c>
      <c r="F361" s="11">
        <f>IFERROR(__xludf.DUMMYFUNCTION("""COMPUTED_VALUE"""),201.71)</f>
        <v>201.71</v>
      </c>
      <c r="G361" s="12">
        <f>IFERROR(__xludf.DUMMYFUNCTION("""COMPUTED_VALUE"""),44349.66666666667)</f>
        <v>44349.66667</v>
      </c>
      <c r="H361" s="11">
        <f>IFERROR(__xludf.DUMMYFUNCTION("""COMPUTED_VALUE"""),125.06)</f>
        <v>125.06</v>
      </c>
    </row>
    <row r="362" ht="15.75" customHeight="1">
      <c r="A362" s="12">
        <f>IFERROR(__xludf.DUMMYFUNCTION("""COMPUTED_VALUE"""),44350.66666666667)</f>
        <v>44350.66667</v>
      </c>
      <c r="B362" s="11">
        <f>IFERROR(__xludf.DUMMYFUNCTION("""COMPUTED_VALUE"""),55.64)</f>
        <v>55.64</v>
      </c>
      <c r="C362" s="12">
        <f>IFERROR(__xludf.DUMMYFUNCTION("""COMPUTED_VALUE"""),44350.66666666667)</f>
        <v>44350.66667</v>
      </c>
      <c r="D362" s="11">
        <f>IFERROR(__xludf.DUMMYFUNCTION("""COMPUTED_VALUE"""),245.71)</f>
        <v>245.71</v>
      </c>
      <c r="E362" s="12">
        <f>IFERROR(__xludf.DUMMYFUNCTION("""COMPUTED_VALUE"""),44350.66666666667)</f>
        <v>44350.66667</v>
      </c>
      <c r="F362" s="11">
        <f>IFERROR(__xludf.DUMMYFUNCTION("""COMPUTED_VALUE"""),190.95)</f>
        <v>190.95</v>
      </c>
      <c r="G362" s="12">
        <f>IFERROR(__xludf.DUMMYFUNCTION("""COMPUTED_VALUE"""),44350.66666666667)</f>
        <v>44350.66667</v>
      </c>
      <c r="H362" s="11">
        <f>IFERROR(__xludf.DUMMYFUNCTION("""COMPUTED_VALUE"""),123.54)</f>
        <v>123.54</v>
      </c>
    </row>
    <row r="363" ht="15.75" customHeight="1">
      <c r="A363" s="12">
        <f>IFERROR(__xludf.DUMMYFUNCTION("""COMPUTED_VALUE"""),44351.66666666667)</f>
        <v>44351.66667</v>
      </c>
      <c r="B363" s="11">
        <f>IFERROR(__xludf.DUMMYFUNCTION("""COMPUTED_VALUE"""),56.24)</f>
        <v>56.24</v>
      </c>
      <c r="C363" s="12">
        <f>IFERROR(__xludf.DUMMYFUNCTION("""COMPUTED_VALUE"""),44351.66666666667)</f>
        <v>44351.66667</v>
      </c>
      <c r="D363" s="11">
        <f>IFERROR(__xludf.DUMMYFUNCTION("""COMPUTED_VALUE"""),250.79)</f>
        <v>250.79</v>
      </c>
      <c r="E363" s="12">
        <f>IFERROR(__xludf.DUMMYFUNCTION("""COMPUTED_VALUE"""),44351.66666666667)</f>
        <v>44351.66667</v>
      </c>
      <c r="F363" s="11">
        <f>IFERROR(__xludf.DUMMYFUNCTION("""COMPUTED_VALUE"""),199.68)</f>
        <v>199.68</v>
      </c>
      <c r="G363" s="12">
        <f>IFERROR(__xludf.DUMMYFUNCTION("""COMPUTED_VALUE"""),44351.66666666667)</f>
        <v>44351.66667</v>
      </c>
      <c r="H363" s="11">
        <f>IFERROR(__xludf.DUMMYFUNCTION("""COMPUTED_VALUE"""),125.89)</f>
        <v>125.89</v>
      </c>
    </row>
    <row r="364" ht="15.75" customHeight="1">
      <c r="A364" s="12">
        <f>IFERROR(__xludf.DUMMYFUNCTION("""COMPUTED_VALUE"""),44354.66666666667)</f>
        <v>44354.66667</v>
      </c>
      <c r="B364" s="11">
        <f>IFERROR(__xludf.DUMMYFUNCTION("""COMPUTED_VALUE"""),56.04)</f>
        <v>56.04</v>
      </c>
      <c r="C364" s="12">
        <f>IFERROR(__xludf.DUMMYFUNCTION("""COMPUTED_VALUE"""),44354.66666666667)</f>
        <v>44354.66667</v>
      </c>
      <c r="D364" s="11">
        <f>IFERROR(__xludf.DUMMYFUNCTION("""COMPUTED_VALUE"""),253.81)</f>
        <v>253.81</v>
      </c>
      <c r="E364" s="12">
        <f>IFERROR(__xludf.DUMMYFUNCTION("""COMPUTED_VALUE"""),44354.66666666667)</f>
        <v>44354.66667</v>
      </c>
      <c r="F364" s="11">
        <f>IFERROR(__xludf.DUMMYFUNCTION("""COMPUTED_VALUE"""),201.71)</f>
        <v>201.71</v>
      </c>
      <c r="G364" s="12">
        <f>IFERROR(__xludf.DUMMYFUNCTION("""COMPUTED_VALUE"""),44354.66666666667)</f>
        <v>44354.66667</v>
      </c>
      <c r="H364" s="11">
        <f>IFERROR(__xludf.DUMMYFUNCTION("""COMPUTED_VALUE"""),125.9)</f>
        <v>125.9</v>
      </c>
    </row>
    <row r="365" ht="15.75" customHeight="1">
      <c r="A365" s="12">
        <f>IFERROR(__xludf.DUMMYFUNCTION("""COMPUTED_VALUE"""),44355.66666666667)</f>
        <v>44355.66667</v>
      </c>
      <c r="B365" s="11">
        <f>IFERROR(__xludf.DUMMYFUNCTION("""COMPUTED_VALUE"""),55.65)</f>
        <v>55.65</v>
      </c>
      <c r="C365" s="12">
        <f>IFERROR(__xludf.DUMMYFUNCTION("""COMPUTED_VALUE"""),44355.66666666667)</f>
        <v>44355.66667</v>
      </c>
      <c r="D365" s="11">
        <f>IFERROR(__xludf.DUMMYFUNCTION("""COMPUTED_VALUE"""),252.57)</f>
        <v>252.57</v>
      </c>
      <c r="E365" s="12">
        <f>IFERROR(__xludf.DUMMYFUNCTION("""COMPUTED_VALUE"""),44355.66666666667)</f>
        <v>44355.66667</v>
      </c>
      <c r="F365" s="11">
        <f>IFERROR(__xludf.DUMMYFUNCTION("""COMPUTED_VALUE"""),201.2)</f>
        <v>201.2</v>
      </c>
      <c r="G365" s="12">
        <f>IFERROR(__xludf.DUMMYFUNCTION("""COMPUTED_VALUE"""),44355.66666666667)</f>
        <v>44355.66667</v>
      </c>
      <c r="H365" s="11">
        <f>IFERROR(__xludf.DUMMYFUNCTION("""COMPUTED_VALUE"""),126.74)</f>
        <v>126.74</v>
      </c>
    </row>
    <row r="366" ht="15.75" customHeight="1">
      <c r="A366" s="12">
        <f>IFERROR(__xludf.DUMMYFUNCTION("""COMPUTED_VALUE"""),44356.66666666667)</f>
        <v>44356.66667</v>
      </c>
      <c r="B366" s="11">
        <f>IFERROR(__xludf.DUMMYFUNCTION("""COMPUTED_VALUE"""),55.48)</f>
        <v>55.48</v>
      </c>
      <c r="C366" s="12">
        <f>IFERROR(__xludf.DUMMYFUNCTION("""COMPUTED_VALUE"""),44356.66666666667)</f>
        <v>44356.66667</v>
      </c>
      <c r="D366" s="11">
        <f>IFERROR(__xludf.DUMMYFUNCTION("""COMPUTED_VALUE"""),253.59)</f>
        <v>253.59</v>
      </c>
      <c r="E366" s="12">
        <f>IFERROR(__xludf.DUMMYFUNCTION("""COMPUTED_VALUE"""),44356.66666666667)</f>
        <v>44356.66667</v>
      </c>
      <c r="F366" s="11">
        <f>IFERROR(__xludf.DUMMYFUNCTION("""COMPUTED_VALUE"""),199.59)</f>
        <v>199.59</v>
      </c>
      <c r="G366" s="12">
        <f>IFERROR(__xludf.DUMMYFUNCTION("""COMPUTED_VALUE"""),44356.66666666667)</f>
        <v>44356.66667</v>
      </c>
      <c r="H366" s="11">
        <f>IFERROR(__xludf.DUMMYFUNCTION("""COMPUTED_VALUE"""),127.13)</f>
        <v>127.13</v>
      </c>
    </row>
    <row r="367" ht="15.75" customHeight="1">
      <c r="A367" s="12">
        <f>IFERROR(__xludf.DUMMYFUNCTION("""COMPUTED_VALUE"""),44357.66666666667)</f>
        <v>44357.66667</v>
      </c>
      <c r="B367" s="11">
        <f>IFERROR(__xludf.DUMMYFUNCTION("""COMPUTED_VALUE"""),55.91)</f>
        <v>55.91</v>
      </c>
      <c r="C367" s="12">
        <f>IFERROR(__xludf.DUMMYFUNCTION("""COMPUTED_VALUE"""),44357.66666666667)</f>
        <v>44357.66667</v>
      </c>
      <c r="D367" s="11">
        <f>IFERROR(__xludf.DUMMYFUNCTION("""COMPUTED_VALUE"""),257.24)</f>
        <v>257.24</v>
      </c>
      <c r="E367" s="12">
        <f>IFERROR(__xludf.DUMMYFUNCTION("""COMPUTED_VALUE"""),44357.66666666667)</f>
        <v>44357.66667</v>
      </c>
      <c r="F367" s="11">
        <f>IFERROR(__xludf.DUMMYFUNCTION("""COMPUTED_VALUE"""),203.37)</f>
        <v>203.37</v>
      </c>
      <c r="G367" s="12">
        <f>IFERROR(__xludf.DUMMYFUNCTION("""COMPUTED_VALUE"""),44357.66666666667)</f>
        <v>44357.66667</v>
      </c>
      <c r="H367" s="11">
        <f>IFERROR(__xludf.DUMMYFUNCTION("""COMPUTED_VALUE"""),126.11)</f>
        <v>126.11</v>
      </c>
    </row>
    <row r="368" ht="15.75" customHeight="1">
      <c r="A368" s="12">
        <f>IFERROR(__xludf.DUMMYFUNCTION("""COMPUTED_VALUE"""),44358.66666666667)</f>
        <v>44358.66667</v>
      </c>
      <c r="B368" s="11">
        <f>IFERROR(__xludf.DUMMYFUNCTION("""COMPUTED_VALUE"""),56.16)</f>
        <v>56.16</v>
      </c>
      <c r="C368" s="12">
        <f>IFERROR(__xludf.DUMMYFUNCTION("""COMPUTED_VALUE"""),44358.66666666667)</f>
        <v>44358.66667</v>
      </c>
      <c r="D368" s="11">
        <f>IFERROR(__xludf.DUMMYFUNCTION("""COMPUTED_VALUE"""),257.89)</f>
        <v>257.89</v>
      </c>
      <c r="E368" s="12">
        <f>IFERROR(__xludf.DUMMYFUNCTION("""COMPUTED_VALUE"""),44358.66666666667)</f>
        <v>44358.66667</v>
      </c>
      <c r="F368" s="11">
        <f>IFERROR(__xludf.DUMMYFUNCTION("""COMPUTED_VALUE"""),203.3)</f>
        <v>203.3</v>
      </c>
      <c r="G368" s="12">
        <f>IFERROR(__xludf.DUMMYFUNCTION("""COMPUTED_VALUE"""),44358.66666666667)</f>
        <v>44358.66667</v>
      </c>
      <c r="H368" s="11">
        <f>IFERROR(__xludf.DUMMYFUNCTION("""COMPUTED_VALUE"""),127.35)</f>
        <v>127.35</v>
      </c>
    </row>
    <row r="369" ht="15.75" customHeight="1">
      <c r="A369" s="12">
        <f>IFERROR(__xludf.DUMMYFUNCTION("""COMPUTED_VALUE"""),44361.66666666667)</f>
        <v>44361.66667</v>
      </c>
      <c r="B369" s="11">
        <f>IFERROR(__xludf.DUMMYFUNCTION("""COMPUTED_VALUE"""),55.55)</f>
        <v>55.55</v>
      </c>
      <c r="C369" s="12">
        <f>IFERROR(__xludf.DUMMYFUNCTION("""COMPUTED_VALUE"""),44361.66666666667)</f>
        <v>44361.66667</v>
      </c>
      <c r="D369" s="11">
        <f>IFERROR(__xludf.DUMMYFUNCTION("""COMPUTED_VALUE"""),259.89)</f>
        <v>259.89</v>
      </c>
      <c r="E369" s="12">
        <f>IFERROR(__xludf.DUMMYFUNCTION("""COMPUTED_VALUE"""),44361.66666666667)</f>
        <v>44361.66667</v>
      </c>
      <c r="F369" s="11">
        <f>IFERROR(__xludf.DUMMYFUNCTION("""COMPUTED_VALUE"""),205.9)</f>
        <v>205.9</v>
      </c>
      <c r="G369" s="12">
        <f>IFERROR(__xludf.DUMMYFUNCTION("""COMPUTED_VALUE"""),44361.66666666667)</f>
        <v>44361.66667</v>
      </c>
      <c r="H369" s="11">
        <f>IFERROR(__xludf.DUMMYFUNCTION("""COMPUTED_VALUE"""),130.48)</f>
        <v>130.48</v>
      </c>
    </row>
    <row r="370" ht="15.75" customHeight="1">
      <c r="A370" s="12">
        <f>IFERROR(__xludf.DUMMYFUNCTION("""COMPUTED_VALUE"""),44362.66666666667)</f>
        <v>44362.66667</v>
      </c>
      <c r="B370" s="11">
        <f>IFERROR(__xludf.DUMMYFUNCTION("""COMPUTED_VALUE"""),55.41)</f>
        <v>55.41</v>
      </c>
      <c r="C370" s="12">
        <f>IFERROR(__xludf.DUMMYFUNCTION("""COMPUTED_VALUE"""),44362.66666666667)</f>
        <v>44362.66667</v>
      </c>
      <c r="D370" s="11">
        <f>IFERROR(__xludf.DUMMYFUNCTION("""COMPUTED_VALUE"""),258.36)</f>
        <v>258.36</v>
      </c>
      <c r="E370" s="12">
        <f>IFERROR(__xludf.DUMMYFUNCTION("""COMPUTED_VALUE"""),44362.66666666667)</f>
        <v>44362.66667</v>
      </c>
      <c r="F370" s="11">
        <f>IFERROR(__xludf.DUMMYFUNCTION("""COMPUTED_VALUE"""),199.79)</f>
        <v>199.79</v>
      </c>
      <c r="G370" s="12">
        <f>IFERROR(__xludf.DUMMYFUNCTION("""COMPUTED_VALUE"""),44362.66666666667)</f>
        <v>44362.66667</v>
      </c>
      <c r="H370" s="11">
        <f>IFERROR(__xludf.DUMMYFUNCTION("""COMPUTED_VALUE"""),129.64)</f>
        <v>129.64</v>
      </c>
    </row>
    <row r="371" ht="15.75" customHeight="1">
      <c r="A371" s="12">
        <f>IFERROR(__xludf.DUMMYFUNCTION("""COMPUTED_VALUE"""),44363.66666666667)</f>
        <v>44363.66667</v>
      </c>
      <c r="B371" s="11">
        <f>IFERROR(__xludf.DUMMYFUNCTION("""COMPUTED_VALUE"""),54.67)</f>
        <v>54.67</v>
      </c>
      <c r="C371" s="12">
        <f>IFERROR(__xludf.DUMMYFUNCTION("""COMPUTED_VALUE"""),44363.66666666667)</f>
        <v>44363.66667</v>
      </c>
      <c r="D371" s="11">
        <f>IFERROR(__xludf.DUMMYFUNCTION("""COMPUTED_VALUE"""),257.38)</f>
        <v>257.38</v>
      </c>
      <c r="E371" s="12">
        <f>IFERROR(__xludf.DUMMYFUNCTION("""COMPUTED_VALUE"""),44363.66666666667)</f>
        <v>44363.66667</v>
      </c>
      <c r="F371" s="11">
        <f>IFERROR(__xludf.DUMMYFUNCTION("""COMPUTED_VALUE"""),201.62)</f>
        <v>201.62</v>
      </c>
      <c r="G371" s="12">
        <f>IFERROR(__xludf.DUMMYFUNCTION("""COMPUTED_VALUE"""),44363.66666666667)</f>
        <v>44363.66667</v>
      </c>
      <c r="H371" s="11">
        <f>IFERROR(__xludf.DUMMYFUNCTION("""COMPUTED_VALUE"""),130.15)</f>
        <v>130.15</v>
      </c>
    </row>
    <row r="372" ht="15.75" customHeight="1">
      <c r="A372" s="12">
        <f>IFERROR(__xludf.DUMMYFUNCTION("""COMPUTED_VALUE"""),44364.66666666667)</f>
        <v>44364.66667</v>
      </c>
      <c r="B372" s="11">
        <f>IFERROR(__xludf.DUMMYFUNCTION("""COMPUTED_VALUE"""),54.95)</f>
        <v>54.95</v>
      </c>
      <c r="C372" s="12">
        <f>IFERROR(__xludf.DUMMYFUNCTION("""COMPUTED_VALUE"""),44364.66666666667)</f>
        <v>44364.66667</v>
      </c>
      <c r="D372" s="11">
        <f>IFERROR(__xludf.DUMMYFUNCTION("""COMPUTED_VALUE"""),260.9)</f>
        <v>260.9</v>
      </c>
      <c r="E372" s="12">
        <f>IFERROR(__xludf.DUMMYFUNCTION("""COMPUTED_VALUE"""),44364.66666666667)</f>
        <v>44364.66667</v>
      </c>
      <c r="F372" s="11">
        <f>IFERROR(__xludf.DUMMYFUNCTION("""COMPUTED_VALUE"""),205.53)</f>
        <v>205.53</v>
      </c>
      <c r="G372" s="12">
        <f>IFERROR(__xludf.DUMMYFUNCTION("""COMPUTED_VALUE"""),44364.66666666667)</f>
        <v>44364.66667</v>
      </c>
      <c r="H372" s="11">
        <f>IFERROR(__xludf.DUMMYFUNCTION("""COMPUTED_VALUE"""),131.79)</f>
        <v>131.79</v>
      </c>
    </row>
    <row r="373" ht="15.75" customHeight="1">
      <c r="A373" s="12">
        <f>IFERROR(__xludf.DUMMYFUNCTION("""COMPUTED_VALUE"""),44365.66666666667)</f>
        <v>44365.66667</v>
      </c>
      <c r="B373" s="11">
        <f>IFERROR(__xludf.DUMMYFUNCTION("""COMPUTED_VALUE"""),53.77)</f>
        <v>53.77</v>
      </c>
      <c r="C373" s="12">
        <f>IFERROR(__xludf.DUMMYFUNCTION("""COMPUTED_VALUE"""),44365.66666666667)</f>
        <v>44365.66667</v>
      </c>
      <c r="D373" s="11">
        <f>IFERROR(__xludf.DUMMYFUNCTION("""COMPUTED_VALUE"""),259.43)</f>
        <v>259.43</v>
      </c>
      <c r="E373" s="12">
        <f>IFERROR(__xludf.DUMMYFUNCTION("""COMPUTED_VALUE"""),44365.66666666667)</f>
        <v>44365.66667</v>
      </c>
      <c r="F373" s="11">
        <f>IFERROR(__xludf.DUMMYFUNCTION("""COMPUTED_VALUE"""),207.77)</f>
        <v>207.77</v>
      </c>
      <c r="G373" s="12">
        <f>IFERROR(__xludf.DUMMYFUNCTION("""COMPUTED_VALUE"""),44365.66666666667)</f>
        <v>44365.66667</v>
      </c>
      <c r="H373" s="11">
        <f>IFERROR(__xludf.DUMMYFUNCTION("""COMPUTED_VALUE"""),130.46)</f>
        <v>130.46</v>
      </c>
    </row>
    <row r="374" ht="15.75" customHeight="1">
      <c r="A374" s="12">
        <f>IFERROR(__xludf.DUMMYFUNCTION("""COMPUTED_VALUE"""),44368.66666666667)</f>
        <v>44368.66667</v>
      </c>
      <c r="B374" s="11">
        <f>IFERROR(__xludf.DUMMYFUNCTION("""COMPUTED_VALUE"""),54.36)</f>
        <v>54.36</v>
      </c>
      <c r="C374" s="12">
        <f>IFERROR(__xludf.DUMMYFUNCTION("""COMPUTED_VALUE"""),44368.66666666667)</f>
        <v>44368.66667</v>
      </c>
      <c r="D374" s="11">
        <f>IFERROR(__xludf.DUMMYFUNCTION("""COMPUTED_VALUE"""),262.63)</f>
        <v>262.63</v>
      </c>
      <c r="E374" s="12">
        <f>IFERROR(__xludf.DUMMYFUNCTION("""COMPUTED_VALUE"""),44368.66666666667)</f>
        <v>44368.66667</v>
      </c>
      <c r="F374" s="11">
        <f>IFERROR(__xludf.DUMMYFUNCTION("""COMPUTED_VALUE"""),206.94)</f>
        <v>206.94</v>
      </c>
      <c r="G374" s="12">
        <f>IFERROR(__xludf.DUMMYFUNCTION("""COMPUTED_VALUE"""),44368.66666666667)</f>
        <v>44368.66667</v>
      </c>
      <c r="H374" s="11">
        <f>IFERROR(__xludf.DUMMYFUNCTION("""COMPUTED_VALUE"""),132.3)</f>
        <v>132.3</v>
      </c>
    </row>
    <row r="375" ht="15.75" customHeight="1">
      <c r="A375" s="12">
        <f>IFERROR(__xludf.DUMMYFUNCTION("""COMPUTED_VALUE"""),44369.66666666667)</f>
        <v>44369.66667</v>
      </c>
      <c r="B375" s="11">
        <f>IFERROR(__xludf.DUMMYFUNCTION("""COMPUTED_VALUE"""),54.56)</f>
        <v>54.56</v>
      </c>
      <c r="C375" s="12">
        <f>IFERROR(__xludf.DUMMYFUNCTION("""COMPUTED_VALUE"""),44369.66666666667)</f>
        <v>44369.66667</v>
      </c>
      <c r="D375" s="11">
        <f>IFERROR(__xludf.DUMMYFUNCTION("""COMPUTED_VALUE"""),265.51)</f>
        <v>265.51</v>
      </c>
      <c r="E375" s="12">
        <f>IFERROR(__xludf.DUMMYFUNCTION("""COMPUTED_VALUE"""),44369.66666666667)</f>
        <v>44369.66667</v>
      </c>
      <c r="F375" s="11">
        <f>IFERROR(__xludf.DUMMYFUNCTION("""COMPUTED_VALUE"""),207.9)</f>
        <v>207.9</v>
      </c>
      <c r="G375" s="12">
        <f>IFERROR(__xludf.DUMMYFUNCTION("""COMPUTED_VALUE"""),44369.66666666667)</f>
        <v>44369.66667</v>
      </c>
      <c r="H375" s="11">
        <f>IFERROR(__xludf.DUMMYFUNCTION("""COMPUTED_VALUE"""),133.98)</f>
        <v>133.98</v>
      </c>
    </row>
    <row r="376" ht="15.75" customHeight="1">
      <c r="A376" s="12">
        <f>IFERROR(__xludf.DUMMYFUNCTION("""COMPUTED_VALUE"""),44370.66666666667)</f>
        <v>44370.66667</v>
      </c>
      <c r="B376" s="11">
        <f>IFERROR(__xludf.DUMMYFUNCTION("""COMPUTED_VALUE"""),54.12)</f>
        <v>54.12</v>
      </c>
      <c r="C376" s="12">
        <f>IFERROR(__xludf.DUMMYFUNCTION("""COMPUTED_VALUE"""),44370.66666666667)</f>
        <v>44370.66667</v>
      </c>
      <c r="D376" s="11">
        <f>IFERROR(__xludf.DUMMYFUNCTION("""COMPUTED_VALUE"""),265.27)</f>
        <v>265.27</v>
      </c>
      <c r="E376" s="12">
        <f>IFERROR(__xludf.DUMMYFUNCTION("""COMPUTED_VALUE"""),44370.66666666667)</f>
        <v>44370.66667</v>
      </c>
      <c r="F376" s="11">
        <f>IFERROR(__xludf.DUMMYFUNCTION("""COMPUTED_VALUE"""),218.86)</f>
        <v>218.86</v>
      </c>
      <c r="G376" s="12">
        <f>IFERROR(__xludf.DUMMYFUNCTION("""COMPUTED_VALUE"""),44370.66666666667)</f>
        <v>44370.66667</v>
      </c>
      <c r="H376" s="11">
        <f>IFERROR(__xludf.DUMMYFUNCTION("""COMPUTED_VALUE"""),133.7)</f>
        <v>133.7</v>
      </c>
    </row>
    <row r="377" ht="15.75" customHeight="1">
      <c r="A377" s="12">
        <f>IFERROR(__xludf.DUMMYFUNCTION("""COMPUTED_VALUE"""),44371.66666666667)</f>
        <v>44371.66667</v>
      </c>
      <c r="B377" s="11">
        <f>IFERROR(__xludf.DUMMYFUNCTION("""COMPUTED_VALUE"""),54.39)</f>
        <v>54.39</v>
      </c>
      <c r="C377" s="12">
        <f>IFERROR(__xludf.DUMMYFUNCTION("""COMPUTED_VALUE"""),44371.66666666667)</f>
        <v>44371.66667</v>
      </c>
      <c r="D377" s="11">
        <f>IFERROR(__xludf.DUMMYFUNCTION("""COMPUTED_VALUE"""),266.69)</f>
        <v>266.69</v>
      </c>
      <c r="E377" s="12">
        <f>IFERROR(__xludf.DUMMYFUNCTION("""COMPUTED_VALUE"""),44371.66666666667)</f>
        <v>44371.66667</v>
      </c>
      <c r="F377" s="11">
        <f>IFERROR(__xludf.DUMMYFUNCTION("""COMPUTED_VALUE"""),226.61)</f>
        <v>226.61</v>
      </c>
      <c r="G377" s="12">
        <f>IFERROR(__xludf.DUMMYFUNCTION("""COMPUTED_VALUE"""),44371.66666666667)</f>
        <v>44371.66667</v>
      </c>
      <c r="H377" s="11">
        <f>IFERROR(__xludf.DUMMYFUNCTION("""COMPUTED_VALUE"""),133.41)</f>
        <v>133.41</v>
      </c>
    </row>
    <row r="378" ht="15.75" customHeight="1">
      <c r="A378" s="12">
        <f>IFERROR(__xludf.DUMMYFUNCTION("""COMPUTED_VALUE"""),44372.66666666667)</f>
        <v>44372.66667</v>
      </c>
      <c r="B378" s="11">
        <f>IFERROR(__xludf.DUMMYFUNCTION("""COMPUTED_VALUE"""),54.32)</f>
        <v>54.32</v>
      </c>
      <c r="C378" s="12">
        <f>IFERROR(__xludf.DUMMYFUNCTION("""COMPUTED_VALUE"""),44372.66666666667)</f>
        <v>44372.66667</v>
      </c>
      <c r="D378" s="11">
        <f>IFERROR(__xludf.DUMMYFUNCTION("""COMPUTED_VALUE"""),265.02)</f>
        <v>265.02</v>
      </c>
      <c r="E378" s="12">
        <f>IFERROR(__xludf.DUMMYFUNCTION("""COMPUTED_VALUE"""),44372.66666666667)</f>
        <v>44372.66667</v>
      </c>
      <c r="F378" s="11">
        <f>IFERROR(__xludf.DUMMYFUNCTION("""COMPUTED_VALUE"""),223.96)</f>
        <v>223.96</v>
      </c>
      <c r="G378" s="12">
        <f>IFERROR(__xludf.DUMMYFUNCTION("""COMPUTED_VALUE"""),44372.66666666667)</f>
        <v>44372.66667</v>
      </c>
      <c r="H378" s="11">
        <f>IFERROR(__xludf.DUMMYFUNCTION("""COMPUTED_VALUE"""),133.11)</f>
        <v>133.11</v>
      </c>
    </row>
    <row r="379" ht="15.75" customHeight="1">
      <c r="A379" s="12">
        <f>IFERROR(__xludf.DUMMYFUNCTION("""COMPUTED_VALUE"""),44375.66666666667)</f>
        <v>44375.66667</v>
      </c>
      <c r="B379" s="11">
        <f>IFERROR(__xludf.DUMMYFUNCTION("""COMPUTED_VALUE"""),54.26)</f>
        <v>54.26</v>
      </c>
      <c r="C379" s="12">
        <f>IFERROR(__xludf.DUMMYFUNCTION("""COMPUTED_VALUE"""),44375.66666666667)</f>
        <v>44375.66667</v>
      </c>
      <c r="D379" s="11">
        <f>IFERROR(__xludf.DUMMYFUNCTION("""COMPUTED_VALUE"""),268.72)</f>
        <v>268.72</v>
      </c>
      <c r="E379" s="12">
        <f>IFERROR(__xludf.DUMMYFUNCTION("""COMPUTED_VALUE"""),44375.66666666667)</f>
        <v>44375.66667</v>
      </c>
      <c r="F379" s="11">
        <f>IFERROR(__xludf.DUMMYFUNCTION("""COMPUTED_VALUE"""),229.57)</f>
        <v>229.57</v>
      </c>
      <c r="G379" s="12">
        <f>IFERROR(__xludf.DUMMYFUNCTION("""COMPUTED_VALUE"""),44375.66666666667)</f>
        <v>44375.66667</v>
      </c>
      <c r="H379" s="11">
        <f>IFERROR(__xludf.DUMMYFUNCTION("""COMPUTED_VALUE"""),134.78)</f>
        <v>134.78</v>
      </c>
    </row>
    <row r="380" ht="15.75" customHeight="1">
      <c r="A380" s="12">
        <f>IFERROR(__xludf.DUMMYFUNCTION("""COMPUTED_VALUE"""),44376.66666666667)</f>
        <v>44376.66667</v>
      </c>
      <c r="B380" s="11">
        <f>IFERROR(__xludf.DUMMYFUNCTION("""COMPUTED_VALUE"""),53.86)</f>
        <v>53.86</v>
      </c>
      <c r="C380" s="12">
        <f>IFERROR(__xludf.DUMMYFUNCTION("""COMPUTED_VALUE"""),44376.66666666667)</f>
        <v>44376.66667</v>
      </c>
      <c r="D380" s="11">
        <f>IFERROR(__xludf.DUMMYFUNCTION("""COMPUTED_VALUE"""),271.4)</f>
        <v>271.4</v>
      </c>
      <c r="E380" s="12">
        <f>IFERROR(__xludf.DUMMYFUNCTION("""COMPUTED_VALUE"""),44376.66666666667)</f>
        <v>44376.66667</v>
      </c>
      <c r="F380" s="11">
        <f>IFERROR(__xludf.DUMMYFUNCTION("""COMPUTED_VALUE"""),226.92)</f>
        <v>226.92</v>
      </c>
      <c r="G380" s="12">
        <f>IFERROR(__xludf.DUMMYFUNCTION("""COMPUTED_VALUE"""),44376.66666666667)</f>
        <v>44376.66667</v>
      </c>
      <c r="H380" s="11">
        <f>IFERROR(__xludf.DUMMYFUNCTION("""COMPUTED_VALUE"""),136.33)</f>
        <v>136.33</v>
      </c>
    </row>
    <row r="381" ht="15.75" customHeight="1">
      <c r="A381" s="12">
        <f>IFERROR(__xludf.DUMMYFUNCTION("""COMPUTED_VALUE"""),44377.66666666667)</f>
        <v>44377.66667</v>
      </c>
      <c r="B381" s="11">
        <f>IFERROR(__xludf.DUMMYFUNCTION("""COMPUTED_VALUE"""),54.11)</f>
        <v>54.11</v>
      </c>
      <c r="C381" s="12">
        <f>IFERROR(__xludf.DUMMYFUNCTION("""COMPUTED_VALUE"""),44377.66666666667)</f>
        <v>44377.66667</v>
      </c>
      <c r="D381" s="11">
        <f>IFERROR(__xludf.DUMMYFUNCTION("""COMPUTED_VALUE"""),270.9)</f>
        <v>270.9</v>
      </c>
      <c r="E381" s="12">
        <f>IFERROR(__xludf.DUMMYFUNCTION("""COMPUTED_VALUE"""),44377.66666666667)</f>
        <v>44377.66667</v>
      </c>
      <c r="F381" s="11">
        <f>IFERROR(__xludf.DUMMYFUNCTION("""COMPUTED_VALUE"""),226.57)</f>
        <v>226.57</v>
      </c>
      <c r="G381" s="12">
        <f>IFERROR(__xludf.DUMMYFUNCTION("""COMPUTED_VALUE"""),44377.66666666667)</f>
        <v>44377.66667</v>
      </c>
      <c r="H381" s="11">
        <f>IFERROR(__xludf.DUMMYFUNCTION("""COMPUTED_VALUE"""),136.96)</f>
        <v>136.96</v>
      </c>
    </row>
    <row r="382" ht="15.75" customHeight="1">
      <c r="A382" s="12">
        <f>IFERROR(__xludf.DUMMYFUNCTION("""COMPUTED_VALUE"""),44378.66666666667)</f>
        <v>44378.66667</v>
      </c>
      <c r="B382" s="11">
        <f>IFERROR(__xludf.DUMMYFUNCTION("""COMPUTED_VALUE"""),53.96)</f>
        <v>53.96</v>
      </c>
      <c r="C382" s="12">
        <f>IFERROR(__xludf.DUMMYFUNCTION("""COMPUTED_VALUE"""),44378.66666666667)</f>
        <v>44378.66667</v>
      </c>
      <c r="D382" s="11">
        <f>IFERROR(__xludf.DUMMYFUNCTION("""COMPUTED_VALUE"""),271.6)</f>
        <v>271.6</v>
      </c>
      <c r="E382" s="12">
        <f>IFERROR(__xludf.DUMMYFUNCTION("""COMPUTED_VALUE"""),44378.66666666667)</f>
        <v>44378.66667</v>
      </c>
      <c r="F382" s="11">
        <f>IFERROR(__xludf.DUMMYFUNCTION("""COMPUTED_VALUE"""),225.97)</f>
        <v>225.97</v>
      </c>
      <c r="G382" s="12">
        <f>IFERROR(__xludf.DUMMYFUNCTION("""COMPUTED_VALUE"""),44378.66666666667)</f>
        <v>44378.66667</v>
      </c>
      <c r="H382" s="11">
        <f>IFERROR(__xludf.DUMMYFUNCTION("""COMPUTED_VALUE"""),137.27)</f>
        <v>137.27</v>
      </c>
    </row>
    <row r="383" ht="15.75" customHeight="1">
      <c r="A383" s="12">
        <f>IFERROR(__xludf.DUMMYFUNCTION("""COMPUTED_VALUE"""),44379.66666666667)</f>
        <v>44379.66667</v>
      </c>
      <c r="B383" s="11">
        <f>IFERROR(__xludf.DUMMYFUNCTION("""COMPUTED_VALUE"""),54.18)</f>
        <v>54.18</v>
      </c>
      <c r="C383" s="12">
        <f>IFERROR(__xludf.DUMMYFUNCTION("""COMPUTED_VALUE"""),44379.66666666667)</f>
        <v>44379.66667</v>
      </c>
      <c r="D383" s="11">
        <f>IFERROR(__xludf.DUMMYFUNCTION("""COMPUTED_VALUE"""),277.65)</f>
        <v>277.65</v>
      </c>
      <c r="E383" s="12">
        <f>IFERROR(__xludf.DUMMYFUNCTION("""COMPUTED_VALUE"""),44379.66666666667)</f>
        <v>44379.66667</v>
      </c>
      <c r="F383" s="11">
        <f>IFERROR(__xludf.DUMMYFUNCTION("""COMPUTED_VALUE"""),226.3)</f>
        <v>226.3</v>
      </c>
      <c r="G383" s="12">
        <f>IFERROR(__xludf.DUMMYFUNCTION("""COMPUTED_VALUE"""),44379.66666666667)</f>
        <v>44379.66667</v>
      </c>
      <c r="H383" s="11">
        <f>IFERROR(__xludf.DUMMYFUNCTION("""COMPUTED_VALUE"""),139.96)</f>
        <v>139.96</v>
      </c>
    </row>
    <row r="384" ht="15.75" customHeight="1">
      <c r="A384" s="12">
        <f>IFERROR(__xludf.DUMMYFUNCTION("""COMPUTED_VALUE"""),44383.66666666667)</f>
        <v>44383.66667</v>
      </c>
      <c r="B384" s="11">
        <f>IFERROR(__xludf.DUMMYFUNCTION("""COMPUTED_VALUE"""),53.88)</f>
        <v>53.88</v>
      </c>
      <c r="C384" s="12">
        <f>IFERROR(__xludf.DUMMYFUNCTION("""COMPUTED_VALUE"""),44383.66666666667)</f>
        <v>44383.66667</v>
      </c>
      <c r="D384" s="11">
        <f>IFERROR(__xludf.DUMMYFUNCTION("""COMPUTED_VALUE"""),277.66)</f>
        <v>277.66</v>
      </c>
      <c r="E384" s="12">
        <f>IFERROR(__xludf.DUMMYFUNCTION("""COMPUTED_VALUE"""),44383.66666666667)</f>
        <v>44383.66667</v>
      </c>
      <c r="F384" s="11">
        <f>IFERROR(__xludf.DUMMYFUNCTION("""COMPUTED_VALUE"""),219.86)</f>
        <v>219.86</v>
      </c>
      <c r="G384" s="12">
        <f>IFERROR(__xludf.DUMMYFUNCTION("""COMPUTED_VALUE"""),44383.66666666667)</f>
        <v>44383.66667</v>
      </c>
      <c r="H384" s="11">
        <f>IFERROR(__xludf.DUMMYFUNCTION("""COMPUTED_VALUE"""),142.02)</f>
        <v>142.02</v>
      </c>
    </row>
    <row r="385" ht="15.75" customHeight="1">
      <c r="A385" s="12">
        <f>IFERROR(__xludf.DUMMYFUNCTION("""COMPUTED_VALUE"""),44384.66666666667)</f>
        <v>44384.66667</v>
      </c>
      <c r="B385" s="11">
        <f>IFERROR(__xludf.DUMMYFUNCTION("""COMPUTED_VALUE"""),54.32)</f>
        <v>54.32</v>
      </c>
      <c r="C385" s="12">
        <f>IFERROR(__xludf.DUMMYFUNCTION("""COMPUTED_VALUE"""),44384.66666666667)</f>
        <v>44384.66667</v>
      </c>
      <c r="D385" s="11">
        <f>IFERROR(__xludf.DUMMYFUNCTION("""COMPUTED_VALUE"""),279.93)</f>
        <v>279.93</v>
      </c>
      <c r="E385" s="12">
        <f>IFERROR(__xludf.DUMMYFUNCTION("""COMPUTED_VALUE"""),44384.66666666667)</f>
        <v>44384.66667</v>
      </c>
      <c r="F385" s="11">
        <f>IFERROR(__xludf.DUMMYFUNCTION("""COMPUTED_VALUE"""),214.88)</f>
        <v>214.88</v>
      </c>
      <c r="G385" s="12">
        <f>IFERROR(__xludf.DUMMYFUNCTION("""COMPUTED_VALUE"""),44384.66666666667)</f>
        <v>44384.66667</v>
      </c>
      <c r="H385" s="11">
        <f>IFERROR(__xludf.DUMMYFUNCTION("""COMPUTED_VALUE"""),144.57)</f>
        <v>144.57</v>
      </c>
    </row>
    <row r="386" ht="15.75" customHeight="1">
      <c r="A386" s="12">
        <f>IFERROR(__xludf.DUMMYFUNCTION("""COMPUTED_VALUE"""),44385.66666666667)</f>
        <v>44385.66667</v>
      </c>
      <c r="B386" s="11">
        <f>IFERROR(__xludf.DUMMYFUNCTION("""COMPUTED_VALUE"""),54.13)</f>
        <v>54.13</v>
      </c>
      <c r="C386" s="12">
        <f>IFERROR(__xludf.DUMMYFUNCTION("""COMPUTED_VALUE"""),44385.66666666667)</f>
        <v>44385.66667</v>
      </c>
      <c r="D386" s="11">
        <f>IFERROR(__xludf.DUMMYFUNCTION("""COMPUTED_VALUE"""),277.42)</f>
        <v>277.42</v>
      </c>
      <c r="E386" s="12">
        <f>IFERROR(__xludf.DUMMYFUNCTION("""COMPUTED_VALUE"""),44385.66666666667)</f>
        <v>44385.66667</v>
      </c>
      <c r="F386" s="11">
        <f>IFERROR(__xludf.DUMMYFUNCTION("""COMPUTED_VALUE"""),217.6)</f>
        <v>217.6</v>
      </c>
      <c r="G386" s="12">
        <f>IFERROR(__xludf.DUMMYFUNCTION("""COMPUTED_VALUE"""),44385.66666666667)</f>
        <v>44385.66667</v>
      </c>
      <c r="H386" s="11">
        <f>IFERROR(__xludf.DUMMYFUNCTION("""COMPUTED_VALUE"""),143.24)</f>
        <v>143.24</v>
      </c>
    </row>
    <row r="387" ht="15.75" customHeight="1">
      <c r="A387" s="12">
        <f>IFERROR(__xludf.DUMMYFUNCTION("""COMPUTED_VALUE"""),44386.66666666667)</f>
        <v>44386.66667</v>
      </c>
      <c r="B387" s="11">
        <f>IFERROR(__xludf.DUMMYFUNCTION("""COMPUTED_VALUE"""),54.46)</f>
        <v>54.46</v>
      </c>
      <c r="C387" s="12">
        <f>IFERROR(__xludf.DUMMYFUNCTION("""COMPUTED_VALUE"""),44386.66666666667)</f>
        <v>44386.66667</v>
      </c>
      <c r="D387" s="11">
        <f>IFERROR(__xludf.DUMMYFUNCTION("""COMPUTED_VALUE"""),277.94)</f>
        <v>277.94</v>
      </c>
      <c r="E387" s="12">
        <f>IFERROR(__xludf.DUMMYFUNCTION("""COMPUTED_VALUE"""),44386.66666666667)</f>
        <v>44386.66667</v>
      </c>
      <c r="F387" s="11">
        <f>IFERROR(__xludf.DUMMYFUNCTION("""COMPUTED_VALUE"""),218.98)</f>
        <v>218.98</v>
      </c>
      <c r="G387" s="12">
        <f>IFERROR(__xludf.DUMMYFUNCTION("""COMPUTED_VALUE"""),44386.66666666667)</f>
        <v>44386.66667</v>
      </c>
      <c r="H387" s="11">
        <f>IFERROR(__xludf.DUMMYFUNCTION("""COMPUTED_VALUE"""),145.11)</f>
        <v>145.11</v>
      </c>
    </row>
    <row r="388" ht="15.75" customHeight="1">
      <c r="A388" s="12">
        <f>IFERROR(__xludf.DUMMYFUNCTION("""COMPUTED_VALUE"""),44389.66666666667)</f>
        <v>44389.66667</v>
      </c>
      <c r="B388" s="11">
        <f>IFERROR(__xludf.DUMMYFUNCTION("""COMPUTED_VALUE"""),54.48)</f>
        <v>54.48</v>
      </c>
      <c r="C388" s="12">
        <f>IFERROR(__xludf.DUMMYFUNCTION("""COMPUTED_VALUE"""),44389.66666666667)</f>
        <v>44389.66667</v>
      </c>
      <c r="D388" s="11">
        <f>IFERROR(__xludf.DUMMYFUNCTION("""COMPUTED_VALUE"""),277.32)</f>
        <v>277.32</v>
      </c>
      <c r="E388" s="12">
        <f>IFERROR(__xludf.DUMMYFUNCTION("""COMPUTED_VALUE"""),44389.66666666667)</f>
        <v>44389.66667</v>
      </c>
      <c r="F388" s="11">
        <f>IFERROR(__xludf.DUMMYFUNCTION("""COMPUTED_VALUE"""),228.57)</f>
        <v>228.57</v>
      </c>
      <c r="G388" s="12">
        <f>IFERROR(__xludf.DUMMYFUNCTION("""COMPUTED_VALUE"""),44389.66666666667)</f>
        <v>44389.66667</v>
      </c>
      <c r="H388" s="11">
        <f>IFERROR(__xludf.DUMMYFUNCTION("""COMPUTED_VALUE"""),144.5)</f>
        <v>144.5</v>
      </c>
    </row>
    <row r="389" ht="15.75" customHeight="1">
      <c r="A389" s="12">
        <f>IFERROR(__xludf.DUMMYFUNCTION("""COMPUTED_VALUE"""),44390.66666666667)</f>
        <v>44390.66667</v>
      </c>
      <c r="B389" s="11">
        <f>IFERROR(__xludf.DUMMYFUNCTION("""COMPUTED_VALUE"""),55.02)</f>
        <v>55.02</v>
      </c>
      <c r="C389" s="12">
        <f>IFERROR(__xludf.DUMMYFUNCTION("""COMPUTED_VALUE"""),44390.66666666667)</f>
        <v>44390.66667</v>
      </c>
      <c r="D389" s="11">
        <f>IFERROR(__xludf.DUMMYFUNCTION("""COMPUTED_VALUE"""),280.98)</f>
        <v>280.98</v>
      </c>
      <c r="E389" s="12">
        <f>IFERROR(__xludf.DUMMYFUNCTION("""COMPUTED_VALUE"""),44390.66666666667)</f>
        <v>44390.66667</v>
      </c>
      <c r="F389" s="11">
        <f>IFERROR(__xludf.DUMMYFUNCTION("""COMPUTED_VALUE"""),222.85)</f>
        <v>222.85</v>
      </c>
      <c r="G389" s="12">
        <f>IFERROR(__xludf.DUMMYFUNCTION("""COMPUTED_VALUE"""),44390.66666666667)</f>
        <v>44390.66667</v>
      </c>
      <c r="H389" s="11">
        <f>IFERROR(__xludf.DUMMYFUNCTION("""COMPUTED_VALUE"""),145.64)</f>
        <v>145.64</v>
      </c>
    </row>
    <row r="390" ht="15.75" customHeight="1">
      <c r="A390" s="12">
        <f>IFERROR(__xludf.DUMMYFUNCTION("""COMPUTED_VALUE"""),44391.66666666667)</f>
        <v>44391.66667</v>
      </c>
      <c r="B390" s="11">
        <f>IFERROR(__xludf.DUMMYFUNCTION("""COMPUTED_VALUE"""),56.26)</f>
        <v>56.26</v>
      </c>
      <c r="C390" s="12">
        <f>IFERROR(__xludf.DUMMYFUNCTION("""COMPUTED_VALUE"""),44391.66666666667)</f>
        <v>44391.66667</v>
      </c>
      <c r="D390" s="11">
        <f>IFERROR(__xludf.DUMMYFUNCTION("""COMPUTED_VALUE"""),282.51)</f>
        <v>282.51</v>
      </c>
      <c r="E390" s="12">
        <f>IFERROR(__xludf.DUMMYFUNCTION("""COMPUTED_VALUE"""),44391.66666666667)</f>
        <v>44391.66667</v>
      </c>
      <c r="F390" s="11">
        <f>IFERROR(__xludf.DUMMYFUNCTION("""COMPUTED_VALUE"""),217.79)</f>
        <v>217.79</v>
      </c>
      <c r="G390" s="12">
        <f>IFERROR(__xludf.DUMMYFUNCTION("""COMPUTED_VALUE"""),44391.66666666667)</f>
        <v>44391.66667</v>
      </c>
      <c r="H390" s="11">
        <f>IFERROR(__xludf.DUMMYFUNCTION("""COMPUTED_VALUE"""),149.15)</f>
        <v>149.15</v>
      </c>
    </row>
    <row r="391" ht="15.75" customHeight="1">
      <c r="A391" s="12">
        <f>IFERROR(__xludf.DUMMYFUNCTION("""COMPUTED_VALUE"""),44392.66666666667)</f>
        <v>44392.66667</v>
      </c>
      <c r="B391" s="11">
        <f>IFERROR(__xludf.DUMMYFUNCTION("""COMPUTED_VALUE"""),56.44)</f>
        <v>56.44</v>
      </c>
      <c r="C391" s="12">
        <f>IFERROR(__xludf.DUMMYFUNCTION("""COMPUTED_VALUE"""),44392.66666666667)</f>
        <v>44392.66667</v>
      </c>
      <c r="D391" s="11">
        <f>IFERROR(__xludf.DUMMYFUNCTION("""COMPUTED_VALUE"""),281.03)</f>
        <v>281.03</v>
      </c>
      <c r="E391" s="12">
        <f>IFERROR(__xludf.DUMMYFUNCTION("""COMPUTED_VALUE"""),44392.66666666667)</f>
        <v>44392.66667</v>
      </c>
      <c r="F391" s="11">
        <f>IFERROR(__xludf.DUMMYFUNCTION("""COMPUTED_VALUE"""),216.87)</f>
        <v>216.87</v>
      </c>
      <c r="G391" s="12">
        <f>IFERROR(__xludf.DUMMYFUNCTION("""COMPUTED_VALUE"""),44392.66666666667)</f>
        <v>44392.66667</v>
      </c>
      <c r="H391" s="11">
        <f>IFERROR(__xludf.DUMMYFUNCTION("""COMPUTED_VALUE"""),148.48)</f>
        <v>148.48</v>
      </c>
    </row>
    <row r="392" ht="15.75" customHeight="1">
      <c r="A392" s="12">
        <f>IFERROR(__xludf.DUMMYFUNCTION("""COMPUTED_VALUE"""),44393.66666666667)</f>
        <v>44393.66667</v>
      </c>
      <c r="B392" s="11">
        <f>IFERROR(__xludf.DUMMYFUNCTION("""COMPUTED_VALUE"""),56.4)</f>
        <v>56.4</v>
      </c>
      <c r="C392" s="12">
        <f>IFERROR(__xludf.DUMMYFUNCTION("""COMPUTED_VALUE"""),44393.66666666667)</f>
        <v>44393.66667</v>
      </c>
      <c r="D392" s="11">
        <f>IFERROR(__xludf.DUMMYFUNCTION("""COMPUTED_VALUE"""),280.75)</f>
        <v>280.75</v>
      </c>
      <c r="E392" s="12">
        <f>IFERROR(__xludf.DUMMYFUNCTION("""COMPUTED_VALUE"""),44393.66666666667)</f>
        <v>44393.66667</v>
      </c>
      <c r="F392" s="11">
        <f>IFERROR(__xludf.DUMMYFUNCTION("""COMPUTED_VALUE"""),214.74)</f>
        <v>214.74</v>
      </c>
      <c r="G392" s="12">
        <f>IFERROR(__xludf.DUMMYFUNCTION("""COMPUTED_VALUE"""),44393.66666666667)</f>
        <v>44393.66667</v>
      </c>
      <c r="H392" s="11">
        <f>IFERROR(__xludf.DUMMYFUNCTION("""COMPUTED_VALUE"""),146.39)</f>
        <v>146.39</v>
      </c>
    </row>
    <row r="393" ht="15.75" customHeight="1">
      <c r="A393" s="12">
        <f>IFERROR(__xludf.DUMMYFUNCTION("""COMPUTED_VALUE"""),44396.66666666667)</f>
        <v>44396.66667</v>
      </c>
      <c r="B393" s="11">
        <f>IFERROR(__xludf.DUMMYFUNCTION("""COMPUTED_VALUE"""),55.73)</f>
        <v>55.73</v>
      </c>
      <c r="C393" s="12">
        <f>IFERROR(__xludf.DUMMYFUNCTION("""COMPUTED_VALUE"""),44396.66666666667)</f>
        <v>44396.66667</v>
      </c>
      <c r="D393" s="11">
        <f>IFERROR(__xludf.DUMMYFUNCTION("""COMPUTED_VALUE"""),277.01)</f>
        <v>277.01</v>
      </c>
      <c r="E393" s="12">
        <f>IFERROR(__xludf.DUMMYFUNCTION("""COMPUTED_VALUE"""),44396.66666666667)</f>
        <v>44396.66667</v>
      </c>
      <c r="F393" s="11">
        <f>IFERROR(__xludf.DUMMYFUNCTION("""COMPUTED_VALUE"""),215.41)</f>
        <v>215.41</v>
      </c>
      <c r="G393" s="12">
        <f>IFERROR(__xludf.DUMMYFUNCTION("""COMPUTED_VALUE"""),44396.66666666667)</f>
        <v>44396.66667</v>
      </c>
      <c r="H393" s="11">
        <f>IFERROR(__xludf.DUMMYFUNCTION("""COMPUTED_VALUE"""),142.45)</f>
        <v>142.45</v>
      </c>
    </row>
    <row r="394" ht="15.75" customHeight="1">
      <c r="A394" s="12">
        <f>IFERROR(__xludf.DUMMYFUNCTION("""COMPUTED_VALUE"""),44397.66666666667)</f>
        <v>44397.66667</v>
      </c>
      <c r="B394" s="11">
        <f>IFERROR(__xludf.DUMMYFUNCTION("""COMPUTED_VALUE"""),55.83)</f>
        <v>55.83</v>
      </c>
      <c r="C394" s="12">
        <f>IFERROR(__xludf.DUMMYFUNCTION("""COMPUTED_VALUE"""),44397.66666666667)</f>
        <v>44397.66667</v>
      </c>
      <c r="D394" s="11">
        <f>IFERROR(__xludf.DUMMYFUNCTION("""COMPUTED_VALUE"""),279.32)</f>
        <v>279.32</v>
      </c>
      <c r="E394" s="12">
        <f>IFERROR(__xludf.DUMMYFUNCTION("""COMPUTED_VALUE"""),44397.66666666667)</f>
        <v>44397.66667</v>
      </c>
      <c r="F394" s="11">
        <f>IFERROR(__xludf.DUMMYFUNCTION("""COMPUTED_VALUE"""),220.17)</f>
        <v>220.17</v>
      </c>
      <c r="G394" s="12">
        <f>IFERROR(__xludf.DUMMYFUNCTION("""COMPUTED_VALUE"""),44397.66666666667)</f>
        <v>44397.66667</v>
      </c>
      <c r="H394" s="11">
        <f>IFERROR(__xludf.DUMMYFUNCTION("""COMPUTED_VALUE"""),146.15)</f>
        <v>146.15</v>
      </c>
    </row>
    <row r="395" ht="15.75" customHeight="1">
      <c r="A395" s="12">
        <f>IFERROR(__xludf.DUMMYFUNCTION("""COMPUTED_VALUE"""),44398.66666666667)</f>
        <v>44398.66667</v>
      </c>
      <c r="B395" s="11">
        <f>IFERROR(__xludf.DUMMYFUNCTION("""COMPUTED_VALUE"""),56.55)</f>
        <v>56.55</v>
      </c>
      <c r="C395" s="12">
        <f>IFERROR(__xludf.DUMMYFUNCTION("""COMPUTED_VALUE"""),44398.66666666667)</f>
        <v>44398.66667</v>
      </c>
      <c r="D395" s="11">
        <f>IFERROR(__xludf.DUMMYFUNCTION("""COMPUTED_VALUE"""),281.4)</f>
        <v>281.4</v>
      </c>
      <c r="E395" s="12">
        <f>IFERROR(__xludf.DUMMYFUNCTION("""COMPUTED_VALUE"""),44398.66666666667)</f>
        <v>44398.66667</v>
      </c>
      <c r="F395" s="11">
        <f>IFERROR(__xludf.DUMMYFUNCTION("""COMPUTED_VALUE"""),218.43)</f>
        <v>218.43</v>
      </c>
      <c r="G395" s="12">
        <f>IFERROR(__xludf.DUMMYFUNCTION("""COMPUTED_VALUE"""),44398.66666666667)</f>
        <v>44398.66667</v>
      </c>
      <c r="H395" s="11">
        <f>IFERROR(__xludf.DUMMYFUNCTION("""COMPUTED_VALUE"""),145.4)</f>
        <v>145.4</v>
      </c>
    </row>
    <row r="396" ht="15.75" customHeight="1">
      <c r="A396" s="12">
        <f>IFERROR(__xludf.DUMMYFUNCTION("""COMPUTED_VALUE"""),44399.66666666667)</f>
        <v>44399.66667</v>
      </c>
      <c r="B396" s="11">
        <f>IFERROR(__xludf.DUMMYFUNCTION("""COMPUTED_VALUE"""),56.47)</f>
        <v>56.47</v>
      </c>
      <c r="C396" s="12">
        <f>IFERROR(__xludf.DUMMYFUNCTION("""COMPUTED_VALUE"""),44399.66666666667)</f>
        <v>44399.66667</v>
      </c>
      <c r="D396" s="11">
        <f>IFERROR(__xludf.DUMMYFUNCTION("""COMPUTED_VALUE"""),286.14)</f>
        <v>286.14</v>
      </c>
      <c r="E396" s="12">
        <f>IFERROR(__xludf.DUMMYFUNCTION("""COMPUTED_VALUE"""),44399.66666666667)</f>
        <v>44399.66667</v>
      </c>
      <c r="F396" s="11">
        <f>IFERROR(__xludf.DUMMYFUNCTION("""COMPUTED_VALUE"""),216.42)</f>
        <v>216.42</v>
      </c>
      <c r="G396" s="12">
        <f>IFERROR(__xludf.DUMMYFUNCTION("""COMPUTED_VALUE"""),44399.66666666667)</f>
        <v>44399.66667</v>
      </c>
      <c r="H396" s="11">
        <f>IFERROR(__xludf.DUMMYFUNCTION("""COMPUTED_VALUE"""),146.8)</f>
        <v>146.8</v>
      </c>
    </row>
    <row r="397" ht="15.75" customHeight="1">
      <c r="A397" s="12">
        <f>IFERROR(__xludf.DUMMYFUNCTION("""COMPUTED_VALUE"""),44400.66666666667)</f>
        <v>44400.66667</v>
      </c>
      <c r="B397" s="11">
        <f>IFERROR(__xludf.DUMMYFUNCTION("""COMPUTED_VALUE"""),57.01)</f>
        <v>57.01</v>
      </c>
      <c r="C397" s="12">
        <f>IFERROR(__xludf.DUMMYFUNCTION("""COMPUTED_VALUE"""),44400.66666666667)</f>
        <v>44400.66667</v>
      </c>
      <c r="D397" s="11">
        <f>IFERROR(__xludf.DUMMYFUNCTION("""COMPUTED_VALUE"""),289.67)</f>
        <v>289.67</v>
      </c>
      <c r="E397" s="12">
        <f>IFERROR(__xludf.DUMMYFUNCTION("""COMPUTED_VALUE"""),44400.66666666667)</f>
        <v>44400.66667</v>
      </c>
      <c r="F397" s="11">
        <f>IFERROR(__xludf.DUMMYFUNCTION("""COMPUTED_VALUE"""),214.46)</f>
        <v>214.46</v>
      </c>
      <c r="G397" s="12">
        <f>IFERROR(__xludf.DUMMYFUNCTION("""COMPUTED_VALUE"""),44400.66666666667)</f>
        <v>44400.66667</v>
      </c>
      <c r="H397" s="11">
        <f>IFERROR(__xludf.DUMMYFUNCTION("""COMPUTED_VALUE"""),148.56)</f>
        <v>148.56</v>
      </c>
    </row>
    <row r="398" ht="15.75" customHeight="1">
      <c r="A398" s="12">
        <f>IFERROR(__xludf.DUMMYFUNCTION("""COMPUTED_VALUE"""),44403.66666666667)</f>
        <v>44403.66667</v>
      </c>
      <c r="B398" s="11">
        <f>IFERROR(__xludf.DUMMYFUNCTION("""COMPUTED_VALUE"""),57.06)</f>
        <v>57.06</v>
      </c>
      <c r="C398" s="12">
        <f>IFERROR(__xludf.DUMMYFUNCTION("""COMPUTED_VALUE"""),44403.66666666667)</f>
        <v>44403.66667</v>
      </c>
      <c r="D398" s="11">
        <f>IFERROR(__xludf.DUMMYFUNCTION("""COMPUTED_VALUE"""),289.05)</f>
        <v>289.05</v>
      </c>
      <c r="E398" s="12">
        <f>IFERROR(__xludf.DUMMYFUNCTION("""COMPUTED_VALUE"""),44403.66666666667)</f>
        <v>44403.66667</v>
      </c>
      <c r="F398" s="11">
        <f>IFERROR(__xludf.DUMMYFUNCTION("""COMPUTED_VALUE"""),219.21)</f>
        <v>219.21</v>
      </c>
      <c r="G398" s="12">
        <f>IFERROR(__xludf.DUMMYFUNCTION("""COMPUTED_VALUE"""),44403.66666666667)</f>
        <v>44403.66667</v>
      </c>
      <c r="H398" s="11">
        <f>IFERROR(__xludf.DUMMYFUNCTION("""COMPUTED_VALUE"""),148.99)</f>
        <v>148.99</v>
      </c>
    </row>
    <row r="399" ht="15.75" customHeight="1">
      <c r="A399" s="12">
        <f>IFERROR(__xludf.DUMMYFUNCTION("""COMPUTED_VALUE"""),44404.66666666667)</f>
        <v>44404.66667</v>
      </c>
      <c r="B399" s="11">
        <f>IFERROR(__xludf.DUMMYFUNCTION("""COMPUTED_VALUE"""),57.26)</f>
        <v>57.26</v>
      </c>
      <c r="C399" s="12">
        <f>IFERROR(__xludf.DUMMYFUNCTION("""COMPUTED_VALUE"""),44404.66666666667)</f>
        <v>44404.66667</v>
      </c>
      <c r="D399" s="11">
        <f>IFERROR(__xludf.DUMMYFUNCTION("""COMPUTED_VALUE"""),286.54)</f>
        <v>286.54</v>
      </c>
      <c r="E399" s="12">
        <f>IFERROR(__xludf.DUMMYFUNCTION("""COMPUTED_VALUE"""),44404.66666666667)</f>
        <v>44404.66667</v>
      </c>
      <c r="F399" s="11">
        <f>IFERROR(__xludf.DUMMYFUNCTION("""COMPUTED_VALUE"""),214.93)</f>
        <v>214.93</v>
      </c>
      <c r="G399" s="12">
        <f>IFERROR(__xludf.DUMMYFUNCTION("""COMPUTED_VALUE"""),44404.66666666667)</f>
        <v>44404.66667</v>
      </c>
      <c r="H399" s="11">
        <f>IFERROR(__xludf.DUMMYFUNCTION("""COMPUTED_VALUE"""),146.77)</f>
        <v>146.77</v>
      </c>
    </row>
    <row r="400" ht="15.75" customHeight="1">
      <c r="A400" s="12">
        <f>IFERROR(__xludf.DUMMYFUNCTION("""COMPUTED_VALUE"""),44405.66666666667)</f>
        <v>44405.66667</v>
      </c>
      <c r="B400" s="11">
        <f>IFERROR(__xludf.DUMMYFUNCTION("""COMPUTED_VALUE"""),56.74)</f>
        <v>56.74</v>
      </c>
      <c r="C400" s="12">
        <f>IFERROR(__xludf.DUMMYFUNCTION("""COMPUTED_VALUE"""),44405.66666666667)</f>
        <v>44405.66667</v>
      </c>
      <c r="D400" s="11">
        <f>IFERROR(__xludf.DUMMYFUNCTION("""COMPUTED_VALUE"""),286.22)</f>
        <v>286.22</v>
      </c>
      <c r="E400" s="12">
        <f>IFERROR(__xludf.DUMMYFUNCTION("""COMPUTED_VALUE"""),44405.66666666667)</f>
        <v>44405.66667</v>
      </c>
      <c r="F400" s="11">
        <f>IFERROR(__xludf.DUMMYFUNCTION("""COMPUTED_VALUE"""),215.66)</f>
        <v>215.66</v>
      </c>
      <c r="G400" s="12">
        <f>IFERROR(__xludf.DUMMYFUNCTION("""COMPUTED_VALUE"""),44405.66666666667)</f>
        <v>44405.66667</v>
      </c>
      <c r="H400" s="11">
        <f>IFERROR(__xludf.DUMMYFUNCTION("""COMPUTED_VALUE"""),144.98)</f>
        <v>144.98</v>
      </c>
    </row>
    <row r="401" ht="15.75" customHeight="1">
      <c r="A401" s="12">
        <f>IFERROR(__xludf.DUMMYFUNCTION("""COMPUTED_VALUE"""),44406.66666666667)</f>
        <v>44406.66667</v>
      </c>
      <c r="B401" s="11">
        <f>IFERROR(__xludf.DUMMYFUNCTION("""COMPUTED_VALUE"""),57.05)</f>
        <v>57.05</v>
      </c>
      <c r="C401" s="12">
        <f>IFERROR(__xludf.DUMMYFUNCTION("""COMPUTED_VALUE"""),44406.66666666667)</f>
        <v>44406.66667</v>
      </c>
      <c r="D401" s="11">
        <f>IFERROR(__xludf.DUMMYFUNCTION("""COMPUTED_VALUE"""),286.5)</f>
        <v>286.5</v>
      </c>
      <c r="E401" s="12">
        <f>IFERROR(__xludf.DUMMYFUNCTION("""COMPUTED_VALUE"""),44406.66666666667)</f>
        <v>44406.66667</v>
      </c>
      <c r="F401" s="11">
        <f>IFERROR(__xludf.DUMMYFUNCTION("""COMPUTED_VALUE"""),225.78)</f>
        <v>225.78</v>
      </c>
      <c r="G401" s="12">
        <f>IFERROR(__xludf.DUMMYFUNCTION("""COMPUTED_VALUE"""),44406.66666666667)</f>
        <v>44406.66667</v>
      </c>
      <c r="H401" s="11">
        <f>IFERROR(__xludf.DUMMYFUNCTION("""COMPUTED_VALUE"""),145.64)</f>
        <v>145.64</v>
      </c>
    </row>
    <row r="402" ht="15.75" customHeight="1">
      <c r="A402" s="12">
        <f>IFERROR(__xludf.DUMMYFUNCTION("""COMPUTED_VALUE"""),44407.66666666667)</f>
        <v>44407.66667</v>
      </c>
      <c r="B402" s="11">
        <f>IFERROR(__xludf.DUMMYFUNCTION("""COMPUTED_VALUE"""),57.03)</f>
        <v>57.03</v>
      </c>
      <c r="C402" s="12">
        <f>IFERROR(__xludf.DUMMYFUNCTION("""COMPUTED_VALUE"""),44407.66666666667)</f>
        <v>44407.66667</v>
      </c>
      <c r="D402" s="11">
        <f>IFERROR(__xludf.DUMMYFUNCTION("""COMPUTED_VALUE"""),284.91)</f>
        <v>284.91</v>
      </c>
      <c r="E402" s="12">
        <f>IFERROR(__xludf.DUMMYFUNCTION("""COMPUTED_VALUE"""),44407.66666666667)</f>
        <v>44407.66667</v>
      </c>
      <c r="F402" s="11">
        <f>IFERROR(__xludf.DUMMYFUNCTION("""COMPUTED_VALUE"""),229.07)</f>
        <v>229.07</v>
      </c>
      <c r="G402" s="12">
        <f>IFERROR(__xludf.DUMMYFUNCTION("""COMPUTED_VALUE"""),44407.66666666667)</f>
        <v>44407.66667</v>
      </c>
      <c r="H402" s="11">
        <f>IFERROR(__xludf.DUMMYFUNCTION("""COMPUTED_VALUE"""),145.86)</f>
        <v>145.86</v>
      </c>
    </row>
    <row r="403" ht="15.75" customHeight="1">
      <c r="A403" s="12">
        <f>IFERROR(__xludf.DUMMYFUNCTION("""COMPUTED_VALUE"""),44410.66666666667)</f>
        <v>44410.66667</v>
      </c>
      <c r="B403" s="11">
        <f>IFERROR(__xludf.DUMMYFUNCTION("""COMPUTED_VALUE"""),56.88)</f>
        <v>56.88</v>
      </c>
      <c r="C403" s="12">
        <f>IFERROR(__xludf.DUMMYFUNCTION("""COMPUTED_VALUE"""),44410.66666666667)</f>
        <v>44410.66667</v>
      </c>
      <c r="D403" s="11">
        <f>IFERROR(__xludf.DUMMYFUNCTION("""COMPUTED_VALUE"""),284.82)</f>
        <v>284.82</v>
      </c>
      <c r="E403" s="12">
        <f>IFERROR(__xludf.DUMMYFUNCTION("""COMPUTED_VALUE"""),44410.66666666667)</f>
        <v>44410.66667</v>
      </c>
      <c r="F403" s="11">
        <f>IFERROR(__xludf.DUMMYFUNCTION("""COMPUTED_VALUE"""),236.56)</f>
        <v>236.56</v>
      </c>
      <c r="G403" s="12">
        <f>IFERROR(__xludf.DUMMYFUNCTION("""COMPUTED_VALUE"""),44410.66666666667)</f>
        <v>44410.66667</v>
      </c>
      <c r="H403" s="11">
        <f>IFERROR(__xludf.DUMMYFUNCTION("""COMPUTED_VALUE"""),145.52)</f>
        <v>145.52</v>
      </c>
    </row>
    <row r="404" ht="15.75" customHeight="1">
      <c r="A404" s="12">
        <f>IFERROR(__xludf.DUMMYFUNCTION("""COMPUTED_VALUE"""),44411.66666666667)</f>
        <v>44411.66667</v>
      </c>
      <c r="B404" s="11">
        <f>IFERROR(__xludf.DUMMYFUNCTION("""COMPUTED_VALUE"""),56.92)</f>
        <v>56.92</v>
      </c>
      <c r="C404" s="12">
        <f>IFERROR(__xludf.DUMMYFUNCTION("""COMPUTED_VALUE"""),44411.66666666667)</f>
        <v>44411.66667</v>
      </c>
      <c r="D404" s="11">
        <f>IFERROR(__xludf.DUMMYFUNCTION("""COMPUTED_VALUE"""),287.12)</f>
        <v>287.12</v>
      </c>
      <c r="E404" s="12">
        <f>IFERROR(__xludf.DUMMYFUNCTION("""COMPUTED_VALUE"""),44411.66666666667)</f>
        <v>44411.66667</v>
      </c>
      <c r="F404" s="11">
        <f>IFERROR(__xludf.DUMMYFUNCTION("""COMPUTED_VALUE"""),236.58)</f>
        <v>236.58</v>
      </c>
      <c r="G404" s="12">
        <f>IFERROR(__xludf.DUMMYFUNCTION("""COMPUTED_VALUE"""),44411.66666666667)</f>
        <v>44411.66667</v>
      </c>
      <c r="H404" s="11">
        <f>IFERROR(__xludf.DUMMYFUNCTION("""COMPUTED_VALUE"""),147.36)</f>
        <v>147.36</v>
      </c>
    </row>
    <row r="405" ht="15.75" customHeight="1">
      <c r="A405" s="12">
        <f>IFERROR(__xludf.DUMMYFUNCTION("""COMPUTED_VALUE"""),44412.66666666667)</f>
        <v>44412.66667</v>
      </c>
      <c r="B405" s="11">
        <f>IFERROR(__xludf.DUMMYFUNCTION("""COMPUTED_VALUE"""),56.1)</f>
        <v>56.1</v>
      </c>
      <c r="C405" s="12">
        <f>IFERROR(__xludf.DUMMYFUNCTION("""COMPUTED_VALUE"""),44412.66666666667)</f>
        <v>44412.66667</v>
      </c>
      <c r="D405" s="11">
        <f>IFERROR(__xludf.DUMMYFUNCTION("""COMPUTED_VALUE"""),286.51)</f>
        <v>286.51</v>
      </c>
      <c r="E405" s="12">
        <f>IFERROR(__xludf.DUMMYFUNCTION("""COMPUTED_VALUE"""),44412.66666666667)</f>
        <v>44412.66667</v>
      </c>
      <c r="F405" s="11">
        <f>IFERROR(__xludf.DUMMYFUNCTION("""COMPUTED_VALUE"""),236.97)</f>
        <v>236.97</v>
      </c>
      <c r="G405" s="12">
        <f>IFERROR(__xludf.DUMMYFUNCTION("""COMPUTED_VALUE"""),44412.66666666667)</f>
        <v>44412.66667</v>
      </c>
      <c r="H405" s="11">
        <f>IFERROR(__xludf.DUMMYFUNCTION("""COMPUTED_VALUE"""),146.95)</f>
        <v>146.95</v>
      </c>
    </row>
    <row r="406" ht="15.75" customHeight="1">
      <c r="A406" s="12">
        <f>IFERROR(__xludf.DUMMYFUNCTION("""COMPUTED_VALUE"""),44413.66666666667)</f>
        <v>44413.66667</v>
      </c>
      <c r="B406" s="11">
        <f>IFERROR(__xludf.DUMMYFUNCTION("""COMPUTED_VALUE"""),56.5)</f>
        <v>56.5</v>
      </c>
      <c r="C406" s="12">
        <f>IFERROR(__xludf.DUMMYFUNCTION("""COMPUTED_VALUE"""),44413.66666666667)</f>
        <v>44413.66667</v>
      </c>
      <c r="D406" s="11">
        <f>IFERROR(__xludf.DUMMYFUNCTION("""COMPUTED_VALUE"""),289.52)</f>
        <v>289.52</v>
      </c>
      <c r="E406" s="12">
        <f>IFERROR(__xludf.DUMMYFUNCTION("""COMPUTED_VALUE"""),44413.66666666667)</f>
        <v>44413.66667</v>
      </c>
      <c r="F406" s="11">
        <f>IFERROR(__xludf.DUMMYFUNCTION("""COMPUTED_VALUE"""),238.21)</f>
        <v>238.21</v>
      </c>
      <c r="G406" s="12">
        <f>IFERROR(__xludf.DUMMYFUNCTION("""COMPUTED_VALUE"""),44413.66666666667)</f>
        <v>44413.66667</v>
      </c>
      <c r="H406" s="11">
        <f>IFERROR(__xludf.DUMMYFUNCTION("""COMPUTED_VALUE"""),147.06)</f>
        <v>147.06</v>
      </c>
    </row>
    <row r="407" ht="15.75" customHeight="1">
      <c r="A407" s="12">
        <f>IFERROR(__xludf.DUMMYFUNCTION("""COMPUTED_VALUE"""),44414.66666666667)</f>
        <v>44414.66667</v>
      </c>
      <c r="B407" s="11">
        <f>IFERROR(__xludf.DUMMYFUNCTION("""COMPUTED_VALUE"""),56.64)</f>
        <v>56.64</v>
      </c>
      <c r="C407" s="12">
        <f>IFERROR(__xludf.DUMMYFUNCTION("""COMPUTED_VALUE"""),44414.66666666667)</f>
        <v>44414.66667</v>
      </c>
      <c r="D407" s="11">
        <f>IFERROR(__xludf.DUMMYFUNCTION("""COMPUTED_VALUE"""),289.46)</f>
        <v>289.46</v>
      </c>
      <c r="E407" s="12">
        <f>IFERROR(__xludf.DUMMYFUNCTION("""COMPUTED_VALUE"""),44414.66666666667)</f>
        <v>44414.66667</v>
      </c>
      <c r="F407" s="11">
        <f>IFERROR(__xludf.DUMMYFUNCTION("""COMPUTED_VALUE"""),233.03)</f>
        <v>233.03</v>
      </c>
      <c r="G407" s="12">
        <f>IFERROR(__xludf.DUMMYFUNCTION("""COMPUTED_VALUE"""),44414.66666666667)</f>
        <v>44414.66667</v>
      </c>
      <c r="H407" s="11">
        <f>IFERROR(__xludf.DUMMYFUNCTION("""COMPUTED_VALUE"""),146.14)</f>
        <v>146.14</v>
      </c>
    </row>
    <row r="408" ht="15.75" customHeight="1">
      <c r="A408" s="12">
        <f>IFERROR(__xludf.DUMMYFUNCTION("""COMPUTED_VALUE"""),44417.66666666667)</f>
        <v>44417.66667</v>
      </c>
      <c r="B408" s="11">
        <f>IFERROR(__xludf.DUMMYFUNCTION("""COMPUTED_VALUE"""),56.65)</f>
        <v>56.65</v>
      </c>
      <c r="C408" s="12">
        <f>IFERROR(__xludf.DUMMYFUNCTION("""COMPUTED_VALUE"""),44417.66666666667)</f>
        <v>44417.66667</v>
      </c>
      <c r="D408" s="11">
        <f>IFERROR(__xludf.DUMMYFUNCTION("""COMPUTED_VALUE"""),288.33)</f>
        <v>288.33</v>
      </c>
      <c r="E408" s="12">
        <f>IFERROR(__xludf.DUMMYFUNCTION("""COMPUTED_VALUE"""),44417.66666666667)</f>
        <v>44417.66667</v>
      </c>
      <c r="F408" s="11">
        <f>IFERROR(__xludf.DUMMYFUNCTION("""COMPUTED_VALUE"""),237.92)</f>
        <v>237.92</v>
      </c>
      <c r="G408" s="12">
        <f>IFERROR(__xludf.DUMMYFUNCTION("""COMPUTED_VALUE"""),44417.66666666667)</f>
        <v>44417.66667</v>
      </c>
      <c r="H408" s="11">
        <f>IFERROR(__xludf.DUMMYFUNCTION("""COMPUTED_VALUE"""),146.09)</f>
        <v>146.09</v>
      </c>
    </row>
    <row r="409" ht="15.75" customHeight="1">
      <c r="A409" s="12">
        <f>IFERROR(__xludf.DUMMYFUNCTION("""COMPUTED_VALUE"""),44418.66666666667)</f>
        <v>44418.66667</v>
      </c>
      <c r="B409" s="11">
        <f>IFERROR(__xludf.DUMMYFUNCTION("""COMPUTED_VALUE"""),56.8)</f>
        <v>56.8</v>
      </c>
      <c r="C409" s="12">
        <f>IFERROR(__xludf.DUMMYFUNCTION("""COMPUTED_VALUE"""),44418.66666666667)</f>
        <v>44418.66667</v>
      </c>
      <c r="D409" s="11">
        <f>IFERROR(__xludf.DUMMYFUNCTION("""COMPUTED_VALUE"""),286.44)</f>
        <v>286.44</v>
      </c>
      <c r="E409" s="12">
        <f>IFERROR(__xludf.DUMMYFUNCTION("""COMPUTED_VALUE"""),44418.66666666667)</f>
        <v>44418.66667</v>
      </c>
      <c r="F409" s="11">
        <f>IFERROR(__xludf.DUMMYFUNCTION("""COMPUTED_VALUE"""),236.66)</f>
        <v>236.66</v>
      </c>
      <c r="G409" s="12">
        <f>IFERROR(__xludf.DUMMYFUNCTION("""COMPUTED_VALUE"""),44418.66666666667)</f>
        <v>44418.66667</v>
      </c>
      <c r="H409" s="11">
        <f>IFERROR(__xludf.DUMMYFUNCTION("""COMPUTED_VALUE"""),145.6)</f>
        <v>145.6</v>
      </c>
    </row>
    <row r="410" ht="15.75" customHeight="1">
      <c r="A410" s="12">
        <f>IFERROR(__xludf.DUMMYFUNCTION("""COMPUTED_VALUE"""),44419.66666666667)</f>
        <v>44419.66667</v>
      </c>
      <c r="B410" s="11">
        <f>IFERROR(__xludf.DUMMYFUNCTION("""COMPUTED_VALUE"""),56.73)</f>
        <v>56.73</v>
      </c>
      <c r="C410" s="12">
        <f>IFERROR(__xludf.DUMMYFUNCTION("""COMPUTED_VALUE"""),44419.66666666667)</f>
        <v>44419.66667</v>
      </c>
      <c r="D410" s="11">
        <f>IFERROR(__xludf.DUMMYFUNCTION("""COMPUTED_VALUE"""),286.95)</f>
        <v>286.95</v>
      </c>
      <c r="E410" s="12">
        <f>IFERROR(__xludf.DUMMYFUNCTION("""COMPUTED_VALUE"""),44419.66666666667)</f>
        <v>44419.66667</v>
      </c>
      <c r="F410" s="11">
        <f>IFERROR(__xludf.DUMMYFUNCTION("""COMPUTED_VALUE"""),235.94)</f>
        <v>235.94</v>
      </c>
      <c r="G410" s="12">
        <f>IFERROR(__xludf.DUMMYFUNCTION("""COMPUTED_VALUE"""),44419.66666666667)</f>
        <v>44419.66667</v>
      </c>
      <c r="H410" s="11">
        <f>IFERROR(__xludf.DUMMYFUNCTION("""COMPUTED_VALUE"""),145.86)</f>
        <v>145.86</v>
      </c>
    </row>
    <row r="411" ht="15.75" customHeight="1">
      <c r="A411" s="12">
        <f>IFERROR(__xludf.DUMMYFUNCTION("""COMPUTED_VALUE"""),44420.66666666667)</f>
        <v>44420.66667</v>
      </c>
      <c r="B411" s="11">
        <f>IFERROR(__xludf.DUMMYFUNCTION("""COMPUTED_VALUE"""),56.84)</f>
        <v>56.84</v>
      </c>
      <c r="C411" s="12">
        <f>IFERROR(__xludf.DUMMYFUNCTION("""COMPUTED_VALUE"""),44420.66666666667)</f>
        <v>44420.66667</v>
      </c>
      <c r="D411" s="11">
        <f>IFERROR(__xludf.DUMMYFUNCTION("""COMPUTED_VALUE"""),289.81)</f>
        <v>289.81</v>
      </c>
      <c r="E411" s="12">
        <f>IFERROR(__xludf.DUMMYFUNCTION("""COMPUTED_VALUE"""),44420.66666666667)</f>
        <v>44420.66667</v>
      </c>
      <c r="F411" s="11">
        <f>IFERROR(__xludf.DUMMYFUNCTION("""COMPUTED_VALUE"""),240.75)</f>
        <v>240.75</v>
      </c>
      <c r="G411" s="12">
        <f>IFERROR(__xludf.DUMMYFUNCTION("""COMPUTED_VALUE"""),44420.66666666667)</f>
        <v>44420.66667</v>
      </c>
      <c r="H411" s="11">
        <f>IFERROR(__xludf.DUMMYFUNCTION("""COMPUTED_VALUE"""),148.89)</f>
        <v>148.89</v>
      </c>
    </row>
    <row r="412" ht="15.75" customHeight="1">
      <c r="A412" s="12">
        <f>IFERROR(__xludf.DUMMYFUNCTION("""COMPUTED_VALUE"""),44421.66666666667)</f>
        <v>44421.66667</v>
      </c>
      <c r="B412" s="11">
        <f>IFERROR(__xludf.DUMMYFUNCTION("""COMPUTED_VALUE"""),57.23)</f>
        <v>57.23</v>
      </c>
      <c r="C412" s="12">
        <f>IFERROR(__xludf.DUMMYFUNCTION("""COMPUTED_VALUE"""),44421.66666666667)</f>
        <v>44421.66667</v>
      </c>
      <c r="D412" s="11">
        <f>IFERROR(__xludf.DUMMYFUNCTION("""COMPUTED_VALUE"""),292.85)</f>
        <v>292.85</v>
      </c>
      <c r="E412" s="12">
        <f>IFERROR(__xludf.DUMMYFUNCTION("""COMPUTED_VALUE"""),44421.66666666667)</f>
        <v>44421.66667</v>
      </c>
      <c r="F412" s="11">
        <f>IFERROR(__xludf.DUMMYFUNCTION("""COMPUTED_VALUE"""),239.06)</f>
        <v>239.06</v>
      </c>
      <c r="G412" s="12">
        <f>IFERROR(__xludf.DUMMYFUNCTION("""COMPUTED_VALUE"""),44421.66666666667)</f>
        <v>44421.66667</v>
      </c>
      <c r="H412" s="11">
        <f>IFERROR(__xludf.DUMMYFUNCTION("""COMPUTED_VALUE"""),149.1)</f>
        <v>149.1</v>
      </c>
    </row>
    <row r="413" ht="15.75" customHeight="1">
      <c r="A413" s="12">
        <f>IFERROR(__xludf.DUMMYFUNCTION("""COMPUTED_VALUE"""),44424.66666666667)</f>
        <v>44424.66667</v>
      </c>
      <c r="B413" s="11">
        <f>IFERROR(__xludf.DUMMYFUNCTION("""COMPUTED_VALUE"""),57.48)</f>
        <v>57.48</v>
      </c>
      <c r="C413" s="12">
        <f>IFERROR(__xludf.DUMMYFUNCTION("""COMPUTED_VALUE"""),44424.66666666667)</f>
        <v>44424.66667</v>
      </c>
      <c r="D413" s="11">
        <f>IFERROR(__xludf.DUMMYFUNCTION("""COMPUTED_VALUE"""),294.6)</f>
        <v>294.6</v>
      </c>
      <c r="E413" s="12">
        <f>IFERROR(__xludf.DUMMYFUNCTION("""COMPUTED_VALUE"""),44424.66666666667)</f>
        <v>44424.66667</v>
      </c>
      <c r="F413" s="11">
        <f>IFERROR(__xludf.DUMMYFUNCTION("""COMPUTED_VALUE"""),228.72)</f>
        <v>228.72</v>
      </c>
      <c r="G413" s="12">
        <f>IFERROR(__xludf.DUMMYFUNCTION("""COMPUTED_VALUE"""),44424.66666666667)</f>
        <v>44424.66667</v>
      </c>
      <c r="H413" s="11">
        <f>IFERROR(__xludf.DUMMYFUNCTION("""COMPUTED_VALUE"""),151.12)</f>
        <v>151.12</v>
      </c>
    </row>
    <row r="414" ht="15.75" customHeight="1">
      <c r="A414" s="12">
        <f>IFERROR(__xludf.DUMMYFUNCTION("""COMPUTED_VALUE"""),44425.66666666667)</f>
        <v>44425.66667</v>
      </c>
      <c r="B414" s="11">
        <f>IFERROR(__xludf.DUMMYFUNCTION("""COMPUTED_VALUE"""),57.28)</f>
        <v>57.28</v>
      </c>
      <c r="C414" s="12">
        <f>IFERROR(__xludf.DUMMYFUNCTION("""COMPUTED_VALUE"""),44425.66666666667)</f>
        <v>44425.66667</v>
      </c>
      <c r="D414" s="11">
        <f>IFERROR(__xludf.DUMMYFUNCTION("""COMPUTED_VALUE"""),293.08)</f>
        <v>293.08</v>
      </c>
      <c r="E414" s="12">
        <f>IFERROR(__xludf.DUMMYFUNCTION("""COMPUTED_VALUE"""),44425.66666666667)</f>
        <v>44425.66667</v>
      </c>
      <c r="F414" s="11">
        <f>IFERROR(__xludf.DUMMYFUNCTION("""COMPUTED_VALUE"""),221.9)</f>
        <v>221.9</v>
      </c>
      <c r="G414" s="12">
        <f>IFERROR(__xludf.DUMMYFUNCTION("""COMPUTED_VALUE"""),44425.66666666667)</f>
        <v>44425.66667</v>
      </c>
      <c r="H414" s="11">
        <f>IFERROR(__xludf.DUMMYFUNCTION("""COMPUTED_VALUE"""),150.19)</f>
        <v>150.19</v>
      </c>
    </row>
    <row r="415" ht="15.75" customHeight="1">
      <c r="A415" s="12">
        <f>IFERROR(__xludf.DUMMYFUNCTION("""COMPUTED_VALUE"""),44426.66666666667)</f>
        <v>44426.66667</v>
      </c>
      <c r="B415" s="11">
        <f>IFERROR(__xludf.DUMMYFUNCTION("""COMPUTED_VALUE"""),56.5)</f>
        <v>56.5</v>
      </c>
      <c r="C415" s="12">
        <f>IFERROR(__xludf.DUMMYFUNCTION("""COMPUTED_VALUE"""),44426.66666666667)</f>
        <v>44426.66667</v>
      </c>
      <c r="D415" s="11">
        <f>IFERROR(__xludf.DUMMYFUNCTION("""COMPUTED_VALUE"""),290.73)</f>
        <v>290.73</v>
      </c>
      <c r="E415" s="12">
        <f>IFERROR(__xludf.DUMMYFUNCTION("""COMPUTED_VALUE"""),44426.66666666667)</f>
        <v>44426.66667</v>
      </c>
      <c r="F415" s="11">
        <f>IFERROR(__xludf.DUMMYFUNCTION("""COMPUTED_VALUE"""),229.66)</f>
        <v>229.66</v>
      </c>
      <c r="G415" s="12">
        <f>IFERROR(__xludf.DUMMYFUNCTION("""COMPUTED_VALUE"""),44426.66666666667)</f>
        <v>44426.66667</v>
      </c>
      <c r="H415" s="11">
        <f>IFERROR(__xludf.DUMMYFUNCTION("""COMPUTED_VALUE"""),146.36)</f>
        <v>146.36</v>
      </c>
    </row>
    <row r="416" ht="15.75" customHeight="1">
      <c r="A416" s="12">
        <f>IFERROR(__xludf.DUMMYFUNCTION("""COMPUTED_VALUE"""),44427.66666666667)</f>
        <v>44427.66667</v>
      </c>
      <c r="B416" s="11">
        <f>IFERROR(__xludf.DUMMYFUNCTION("""COMPUTED_VALUE"""),56.86)</f>
        <v>56.86</v>
      </c>
      <c r="C416" s="12">
        <f>IFERROR(__xludf.DUMMYFUNCTION("""COMPUTED_VALUE"""),44427.66666666667)</f>
        <v>44427.66667</v>
      </c>
      <c r="D416" s="11">
        <f>IFERROR(__xludf.DUMMYFUNCTION("""COMPUTED_VALUE"""),296.77)</f>
        <v>296.77</v>
      </c>
      <c r="E416" s="12">
        <f>IFERROR(__xludf.DUMMYFUNCTION("""COMPUTED_VALUE"""),44427.66666666667)</f>
        <v>44427.66667</v>
      </c>
      <c r="F416" s="11">
        <f>IFERROR(__xludf.DUMMYFUNCTION("""COMPUTED_VALUE"""),224.49)</f>
        <v>224.49</v>
      </c>
      <c r="G416" s="12">
        <f>IFERROR(__xludf.DUMMYFUNCTION("""COMPUTED_VALUE"""),44427.66666666667)</f>
        <v>44427.66667</v>
      </c>
      <c r="H416" s="11">
        <f>IFERROR(__xludf.DUMMYFUNCTION("""COMPUTED_VALUE"""),146.7)</f>
        <v>146.7</v>
      </c>
    </row>
    <row r="417" ht="15.75" customHeight="1">
      <c r="A417" s="12">
        <f>IFERROR(__xludf.DUMMYFUNCTION("""COMPUTED_VALUE"""),44428.66666666667)</f>
        <v>44428.66667</v>
      </c>
      <c r="B417" s="11">
        <f>IFERROR(__xludf.DUMMYFUNCTION("""COMPUTED_VALUE"""),56.64)</f>
        <v>56.64</v>
      </c>
      <c r="C417" s="12">
        <f>IFERROR(__xludf.DUMMYFUNCTION("""COMPUTED_VALUE"""),44428.66666666667)</f>
        <v>44428.66667</v>
      </c>
      <c r="D417" s="11">
        <f>IFERROR(__xludf.DUMMYFUNCTION("""COMPUTED_VALUE"""),304.36)</f>
        <v>304.36</v>
      </c>
      <c r="E417" s="12">
        <f>IFERROR(__xludf.DUMMYFUNCTION("""COMPUTED_VALUE"""),44428.66666666667)</f>
        <v>44428.66667</v>
      </c>
      <c r="F417" s="11">
        <f>IFERROR(__xludf.DUMMYFUNCTION("""COMPUTED_VALUE"""),226.75)</f>
        <v>226.75</v>
      </c>
      <c r="G417" s="12">
        <f>IFERROR(__xludf.DUMMYFUNCTION("""COMPUTED_VALUE"""),44428.66666666667)</f>
        <v>44428.66667</v>
      </c>
      <c r="H417" s="11">
        <f>IFERROR(__xludf.DUMMYFUNCTION("""COMPUTED_VALUE"""),148.19)</f>
        <v>148.19</v>
      </c>
    </row>
    <row r="418" ht="15.75" customHeight="1">
      <c r="A418" s="12">
        <f>IFERROR(__xludf.DUMMYFUNCTION("""COMPUTED_VALUE"""),44431.66666666667)</f>
        <v>44431.66667</v>
      </c>
      <c r="B418" s="11">
        <f>IFERROR(__xludf.DUMMYFUNCTION("""COMPUTED_VALUE"""),56.44)</f>
        <v>56.44</v>
      </c>
      <c r="C418" s="12">
        <f>IFERROR(__xludf.DUMMYFUNCTION("""COMPUTED_VALUE"""),44431.66666666667)</f>
        <v>44431.66667</v>
      </c>
      <c r="D418" s="11">
        <f>IFERROR(__xludf.DUMMYFUNCTION("""COMPUTED_VALUE"""),304.65)</f>
        <v>304.65</v>
      </c>
      <c r="E418" s="12">
        <f>IFERROR(__xludf.DUMMYFUNCTION("""COMPUTED_VALUE"""),44431.66666666667)</f>
        <v>44431.66667</v>
      </c>
      <c r="F418" s="11">
        <f>IFERROR(__xludf.DUMMYFUNCTION("""COMPUTED_VALUE"""),235.43)</f>
        <v>235.43</v>
      </c>
      <c r="G418" s="12">
        <f>IFERROR(__xludf.DUMMYFUNCTION("""COMPUTED_VALUE"""),44431.66666666667)</f>
        <v>44431.66667</v>
      </c>
      <c r="H418" s="11">
        <f>IFERROR(__xludf.DUMMYFUNCTION("""COMPUTED_VALUE"""),149.71)</f>
        <v>149.71</v>
      </c>
    </row>
    <row r="419" ht="15.75" customHeight="1">
      <c r="A419" s="12">
        <f>IFERROR(__xludf.DUMMYFUNCTION("""COMPUTED_VALUE"""),44432.66666666667)</f>
        <v>44432.66667</v>
      </c>
      <c r="B419" s="11">
        <f>IFERROR(__xludf.DUMMYFUNCTION("""COMPUTED_VALUE"""),56.01)</f>
        <v>56.01</v>
      </c>
      <c r="C419" s="12">
        <f>IFERROR(__xludf.DUMMYFUNCTION("""COMPUTED_VALUE"""),44432.66666666667)</f>
        <v>44432.66667</v>
      </c>
      <c r="D419" s="11">
        <f>IFERROR(__xludf.DUMMYFUNCTION("""COMPUTED_VALUE"""),302.62)</f>
        <v>302.62</v>
      </c>
      <c r="E419" s="12">
        <f>IFERROR(__xludf.DUMMYFUNCTION("""COMPUTED_VALUE"""),44432.66666666667)</f>
        <v>44432.66667</v>
      </c>
      <c r="F419" s="11">
        <f>IFERROR(__xludf.DUMMYFUNCTION("""COMPUTED_VALUE"""),236.16)</f>
        <v>236.16</v>
      </c>
      <c r="G419" s="12">
        <f>IFERROR(__xludf.DUMMYFUNCTION("""COMPUTED_VALUE"""),44432.66666666667)</f>
        <v>44432.66667</v>
      </c>
      <c r="H419" s="11">
        <f>IFERROR(__xludf.DUMMYFUNCTION("""COMPUTED_VALUE"""),149.62)</f>
        <v>149.62</v>
      </c>
    </row>
    <row r="420" ht="15.75" customHeight="1">
      <c r="A420" s="12">
        <f>IFERROR(__xludf.DUMMYFUNCTION("""COMPUTED_VALUE"""),44433.66666666667)</f>
        <v>44433.66667</v>
      </c>
      <c r="B420" s="11">
        <f>IFERROR(__xludf.DUMMYFUNCTION("""COMPUTED_VALUE"""),56.07)</f>
        <v>56.07</v>
      </c>
      <c r="C420" s="12">
        <f>IFERROR(__xludf.DUMMYFUNCTION("""COMPUTED_VALUE"""),44433.66666666667)</f>
        <v>44433.66667</v>
      </c>
      <c r="D420" s="11">
        <f>IFERROR(__xludf.DUMMYFUNCTION("""COMPUTED_VALUE"""),302.01)</f>
        <v>302.01</v>
      </c>
      <c r="E420" s="12">
        <f>IFERROR(__xludf.DUMMYFUNCTION("""COMPUTED_VALUE"""),44433.66666666667)</f>
        <v>44433.66667</v>
      </c>
      <c r="F420" s="11">
        <f>IFERROR(__xludf.DUMMYFUNCTION("""COMPUTED_VALUE"""),237.07)</f>
        <v>237.07</v>
      </c>
      <c r="G420" s="12">
        <f>IFERROR(__xludf.DUMMYFUNCTION("""COMPUTED_VALUE"""),44433.66666666667)</f>
        <v>44433.66667</v>
      </c>
      <c r="H420" s="11">
        <f>IFERROR(__xludf.DUMMYFUNCTION("""COMPUTED_VALUE"""),148.36)</f>
        <v>148.36</v>
      </c>
    </row>
    <row r="421" ht="15.75" customHeight="1">
      <c r="A421" s="12">
        <f>IFERROR(__xludf.DUMMYFUNCTION("""COMPUTED_VALUE"""),44434.66666666667)</f>
        <v>44434.66667</v>
      </c>
      <c r="B421" s="11">
        <f>IFERROR(__xludf.DUMMYFUNCTION("""COMPUTED_VALUE"""),55.54)</f>
        <v>55.54</v>
      </c>
      <c r="C421" s="12">
        <f>IFERROR(__xludf.DUMMYFUNCTION("""COMPUTED_VALUE"""),44434.66666666667)</f>
        <v>44434.66667</v>
      </c>
      <c r="D421" s="11">
        <f>IFERROR(__xludf.DUMMYFUNCTION("""COMPUTED_VALUE"""),299.09)</f>
        <v>299.09</v>
      </c>
      <c r="E421" s="12">
        <f>IFERROR(__xludf.DUMMYFUNCTION("""COMPUTED_VALUE"""),44434.66666666667)</f>
        <v>44434.66667</v>
      </c>
      <c r="F421" s="11">
        <f>IFERROR(__xludf.DUMMYFUNCTION("""COMPUTED_VALUE"""),233.72)</f>
        <v>233.72</v>
      </c>
      <c r="G421" s="12">
        <f>IFERROR(__xludf.DUMMYFUNCTION("""COMPUTED_VALUE"""),44434.66666666667)</f>
        <v>44434.66667</v>
      </c>
      <c r="H421" s="11">
        <f>IFERROR(__xludf.DUMMYFUNCTION("""COMPUTED_VALUE"""),147.54)</f>
        <v>147.54</v>
      </c>
    </row>
    <row r="422" ht="15.75" customHeight="1">
      <c r="A422" s="12">
        <f>IFERROR(__xludf.DUMMYFUNCTION("""COMPUTED_VALUE"""),44435.66666666667)</f>
        <v>44435.66667</v>
      </c>
      <c r="B422" s="11">
        <f>IFERROR(__xludf.DUMMYFUNCTION("""COMPUTED_VALUE"""),55.65)</f>
        <v>55.65</v>
      </c>
      <c r="C422" s="12">
        <f>IFERROR(__xludf.DUMMYFUNCTION("""COMPUTED_VALUE"""),44435.66666666667)</f>
        <v>44435.66667</v>
      </c>
      <c r="D422" s="11">
        <f>IFERROR(__xludf.DUMMYFUNCTION("""COMPUTED_VALUE"""),299.72)</f>
        <v>299.72</v>
      </c>
      <c r="E422" s="12">
        <f>IFERROR(__xludf.DUMMYFUNCTION("""COMPUTED_VALUE"""),44435.66666666667)</f>
        <v>44435.66667</v>
      </c>
      <c r="F422" s="11">
        <f>IFERROR(__xludf.DUMMYFUNCTION("""COMPUTED_VALUE"""),237.31)</f>
        <v>237.31</v>
      </c>
      <c r="G422" s="12">
        <f>IFERROR(__xludf.DUMMYFUNCTION("""COMPUTED_VALUE"""),44435.66666666667)</f>
        <v>44435.66667</v>
      </c>
      <c r="H422" s="11">
        <f>IFERROR(__xludf.DUMMYFUNCTION("""COMPUTED_VALUE"""),148.6)</f>
        <v>148.6</v>
      </c>
    </row>
    <row r="423" ht="15.75" customHeight="1">
      <c r="A423" s="12">
        <f>IFERROR(__xludf.DUMMYFUNCTION("""COMPUTED_VALUE"""),44438.66666666667)</f>
        <v>44438.66667</v>
      </c>
      <c r="B423" s="11">
        <f>IFERROR(__xludf.DUMMYFUNCTION("""COMPUTED_VALUE"""),56.18)</f>
        <v>56.18</v>
      </c>
      <c r="C423" s="12">
        <f>IFERROR(__xludf.DUMMYFUNCTION("""COMPUTED_VALUE"""),44438.66666666667)</f>
        <v>44438.66667</v>
      </c>
      <c r="D423" s="11">
        <f>IFERROR(__xludf.DUMMYFUNCTION("""COMPUTED_VALUE"""),303.59)</f>
        <v>303.59</v>
      </c>
      <c r="E423" s="12">
        <f>IFERROR(__xludf.DUMMYFUNCTION("""COMPUTED_VALUE"""),44438.66666666667)</f>
        <v>44438.66667</v>
      </c>
      <c r="F423" s="11">
        <f>IFERROR(__xludf.DUMMYFUNCTION("""COMPUTED_VALUE"""),243.64)</f>
        <v>243.64</v>
      </c>
      <c r="G423" s="12">
        <f>IFERROR(__xludf.DUMMYFUNCTION("""COMPUTED_VALUE"""),44438.66666666667)</f>
        <v>44438.66667</v>
      </c>
      <c r="H423" s="11">
        <f>IFERROR(__xludf.DUMMYFUNCTION("""COMPUTED_VALUE"""),153.12)</f>
        <v>153.12</v>
      </c>
    </row>
    <row r="424" ht="15.75" customHeight="1">
      <c r="A424" s="12">
        <f>IFERROR(__xludf.DUMMYFUNCTION("""COMPUTED_VALUE"""),44439.66666666667)</f>
        <v>44439.66667</v>
      </c>
      <c r="B424" s="11">
        <f>IFERROR(__xludf.DUMMYFUNCTION("""COMPUTED_VALUE"""),56.31)</f>
        <v>56.31</v>
      </c>
      <c r="C424" s="12">
        <f>IFERROR(__xludf.DUMMYFUNCTION("""COMPUTED_VALUE"""),44439.66666666667)</f>
        <v>44439.66667</v>
      </c>
      <c r="D424" s="11">
        <f>IFERROR(__xludf.DUMMYFUNCTION("""COMPUTED_VALUE"""),301.88)</f>
        <v>301.88</v>
      </c>
      <c r="E424" s="12">
        <f>IFERROR(__xludf.DUMMYFUNCTION("""COMPUTED_VALUE"""),44439.66666666667)</f>
        <v>44439.66667</v>
      </c>
      <c r="F424" s="11">
        <f>IFERROR(__xludf.DUMMYFUNCTION("""COMPUTED_VALUE"""),245.24)</f>
        <v>245.24</v>
      </c>
      <c r="G424" s="12">
        <f>IFERROR(__xludf.DUMMYFUNCTION("""COMPUTED_VALUE"""),44439.66666666667)</f>
        <v>44439.66667</v>
      </c>
      <c r="H424" s="11">
        <f>IFERROR(__xludf.DUMMYFUNCTION("""COMPUTED_VALUE"""),151.83)</f>
        <v>151.83</v>
      </c>
    </row>
    <row r="425" ht="15.75" customHeight="1">
      <c r="A425" s="12">
        <f>IFERROR(__xludf.DUMMYFUNCTION("""COMPUTED_VALUE"""),44440.66666666667)</f>
        <v>44440.66667</v>
      </c>
      <c r="B425" s="11">
        <f>IFERROR(__xludf.DUMMYFUNCTION("""COMPUTED_VALUE"""),56.69)</f>
        <v>56.69</v>
      </c>
      <c r="C425" s="12">
        <f>IFERROR(__xludf.DUMMYFUNCTION("""COMPUTED_VALUE"""),44440.66666666667)</f>
        <v>44440.66667</v>
      </c>
      <c r="D425" s="11">
        <f>IFERROR(__xludf.DUMMYFUNCTION("""COMPUTED_VALUE"""),301.83)</f>
        <v>301.83</v>
      </c>
      <c r="E425" s="12">
        <f>IFERROR(__xludf.DUMMYFUNCTION("""COMPUTED_VALUE"""),44440.66666666667)</f>
        <v>44440.66667</v>
      </c>
      <c r="F425" s="11">
        <f>IFERROR(__xludf.DUMMYFUNCTION("""COMPUTED_VALUE"""),244.7)</f>
        <v>244.7</v>
      </c>
      <c r="G425" s="12">
        <f>IFERROR(__xludf.DUMMYFUNCTION("""COMPUTED_VALUE"""),44440.66666666667)</f>
        <v>44440.66667</v>
      </c>
      <c r="H425" s="11">
        <f>IFERROR(__xludf.DUMMYFUNCTION("""COMPUTED_VALUE"""),152.51)</f>
        <v>152.51</v>
      </c>
    </row>
    <row r="426" ht="15.75" customHeight="1">
      <c r="A426" s="12">
        <f>IFERROR(__xludf.DUMMYFUNCTION("""COMPUTED_VALUE"""),44441.66666666667)</f>
        <v>44441.66667</v>
      </c>
      <c r="B426" s="11">
        <f>IFERROR(__xludf.DUMMYFUNCTION("""COMPUTED_VALUE"""),56.77)</f>
        <v>56.77</v>
      </c>
      <c r="C426" s="12">
        <f>IFERROR(__xludf.DUMMYFUNCTION("""COMPUTED_VALUE"""),44441.66666666667)</f>
        <v>44441.66667</v>
      </c>
      <c r="D426" s="11">
        <f>IFERROR(__xludf.DUMMYFUNCTION("""COMPUTED_VALUE"""),301.15)</f>
        <v>301.15</v>
      </c>
      <c r="E426" s="12">
        <f>IFERROR(__xludf.DUMMYFUNCTION("""COMPUTED_VALUE"""),44441.66666666667)</f>
        <v>44441.66667</v>
      </c>
      <c r="F426" s="11">
        <f>IFERROR(__xludf.DUMMYFUNCTION("""COMPUTED_VALUE"""),244.13)</f>
        <v>244.13</v>
      </c>
      <c r="G426" s="12">
        <f>IFERROR(__xludf.DUMMYFUNCTION("""COMPUTED_VALUE"""),44441.66666666667)</f>
        <v>44441.66667</v>
      </c>
      <c r="H426" s="11">
        <f>IFERROR(__xludf.DUMMYFUNCTION("""COMPUTED_VALUE"""),153.65)</f>
        <v>153.65</v>
      </c>
    </row>
    <row r="427" ht="15.75" customHeight="1">
      <c r="A427" s="12">
        <f>IFERROR(__xludf.DUMMYFUNCTION("""COMPUTED_VALUE"""),44442.66666666667)</f>
        <v>44442.66667</v>
      </c>
      <c r="B427" s="11">
        <f>IFERROR(__xludf.DUMMYFUNCTION("""COMPUTED_VALUE"""),56.73)</f>
        <v>56.73</v>
      </c>
      <c r="C427" s="12">
        <f>IFERROR(__xludf.DUMMYFUNCTION("""COMPUTED_VALUE"""),44442.66666666667)</f>
        <v>44442.66667</v>
      </c>
      <c r="D427" s="11">
        <f>IFERROR(__xludf.DUMMYFUNCTION("""COMPUTED_VALUE"""),301.14)</f>
        <v>301.14</v>
      </c>
      <c r="E427" s="12">
        <f>IFERROR(__xludf.DUMMYFUNCTION("""COMPUTED_VALUE"""),44442.66666666667)</f>
        <v>44442.66667</v>
      </c>
      <c r="F427" s="11">
        <f>IFERROR(__xludf.DUMMYFUNCTION("""COMPUTED_VALUE"""),244.52)</f>
        <v>244.52</v>
      </c>
      <c r="G427" s="12">
        <f>IFERROR(__xludf.DUMMYFUNCTION("""COMPUTED_VALUE"""),44442.66666666667)</f>
        <v>44442.66667</v>
      </c>
      <c r="H427" s="11">
        <f>IFERROR(__xludf.DUMMYFUNCTION("""COMPUTED_VALUE"""),154.3)</f>
        <v>154.3</v>
      </c>
    </row>
    <row r="428" ht="15.75" customHeight="1">
      <c r="A428" s="12">
        <f>IFERROR(__xludf.DUMMYFUNCTION("""COMPUTED_VALUE"""),44446.66666666667)</f>
        <v>44446.66667</v>
      </c>
      <c r="B428" s="11">
        <f>IFERROR(__xludf.DUMMYFUNCTION("""COMPUTED_VALUE"""),55.67)</f>
        <v>55.67</v>
      </c>
      <c r="C428" s="12">
        <f>IFERROR(__xludf.DUMMYFUNCTION("""COMPUTED_VALUE"""),44446.66666666667)</f>
        <v>44446.66667</v>
      </c>
      <c r="D428" s="11">
        <f>IFERROR(__xludf.DUMMYFUNCTION("""COMPUTED_VALUE"""),300.18)</f>
        <v>300.18</v>
      </c>
      <c r="E428" s="12">
        <f>IFERROR(__xludf.DUMMYFUNCTION("""COMPUTED_VALUE"""),44446.66666666667)</f>
        <v>44446.66667</v>
      </c>
      <c r="F428" s="11">
        <f>IFERROR(__xludf.DUMMYFUNCTION("""COMPUTED_VALUE"""),250.97)</f>
        <v>250.97</v>
      </c>
      <c r="G428" s="12">
        <f>IFERROR(__xludf.DUMMYFUNCTION("""COMPUTED_VALUE"""),44446.66666666667)</f>
        <v>44446.66667</v>
      </c>
      <c r="H428" s="11">
        <f>IFERROR(__xludf.DUMMYFUNCTION("""COMPUTED_VALUE"""),156.69)</f>
        <v>156.69</v>
      </c>
    </row>
    <row r="429" ht="15.75" customHeight="1">
      <c r="A429" s="12">
        <f>IFERROR(__xludf.DUMMYFUNCTION("""COMPUTED_VALUE"""),44447.66666666667)</f>
        <v>44447.66667</v>
      </c>
      <c r="B429" s="11">
        <f>IFERROR(__xludf.DUMMYFUNCTION("""COMPUTED_VALUE"""),56.42)</f>
        <v>56.42</v>
      </c>
      <c r="C429" s="12">
        <f>IFERROR(__xludf.DUMMYFUNCTION("""COMPUTED_VALUE"""),44447.66666666667)</f>
        <v>44447.66667</v>
      </c>
      <c r="D429" s="11">
        <f>IFERROR(__xludf.DUMMYFUNCTION("""COMPUTED_VALUE"""),300.21)</f>
        <v>300.21</v>
      </c>
      <c r="E429" s="12">
        <f>IFERROR(__xludf.DUMMYFUNCTION("""COMPUTED_VALUE"""),44447.66666666667)</f>
        <v>44447.66667</v>
      </c>
      <c r="F429" s="11">
        <f>IFERROR(__xludf.DUMMYFUNCTION("""COMPUTED_VALUE"""),251.29)</f>
        <v>251.29</v>
      </c>
      <c r="G429" s="12">
        <f>IFERROR(__xludf.DUMMYFUNCTION("""COMPUTED_VALUE"""),44447.66666666667)</f>
        <v>44447.66667</v>
      </c>
      <c r="H429" s="11">
        <f>IFERROR(__xludf.DUMMYFUNCTION("""COMPUTED_VALUE"""),155.11)</f>
        <v>155.11</v>
      </c>
    </row>
    <row r="430" ht="15.75" customHeight="1">
      <c r="A430" s="12">
        <f>IFERROR(__xludf.DUMMYFUNCTION("""COMPUTED_VALUE"""),44448.66666666667)</f>
        <v>44448.66667</v>
      </c>
      <c r="B430" s="11">
        <f>IFERROR(__xludf.DUMMYFUNCTION("""COMPUTED_VALUE"""),55.86)</f>
        <v>55.86</v>
      </c>
      <c r="C430" s="12">
        <f>IFERROR(__xludf.DUMMYFUNCTION("""COMPUTED_VALUE"""),44448.66666666667)</f>
        <v>44448.66667</v>
      </c>
      <c r="D430" s="11">
        <f>IFERROR(__xludf.DUMMYFUNCTION("""COMPUTED_VALUE"""),297.25)</f>
        <v>297.25</v>
      </c>
      <c r="E430" s="12">
        <f>IFERROR(__xludf.DUMMYFUNCTION("""COMPUTED_VALUE"""),44448.66666666667)</f>
        <v>44448.66667</v>
      </c>
      <c r="F430" s="11">
        <f>IFERROR(__xludf.DUMMYFUNCTION("""COMPUTED_VALUE"""),251.62)</f>
        <v>251.62</v>
      </c>
      <c r="G430" s="12">
        <f>IFERROR(__xludf.DUMMYFUNCTION("""COMPUTED_VALUE"""),44448.66666666667)</f>
        <v>44448.66667</v>
      </c>
      <c r="H430" s="11">
        <f>IFERROR(__xludf.DUMMYFUNCTION("""COMPUTED_VALUE"""),154.07)</f>
        <v>154.07</v>
      </c>
    </row>
    <row r="431" ht="15.75" customHeight="1">
      <c r="A431" s="12">
        <f>IFERROR(__xludf.DUMMYFUNCTION("""COMPUTED_VALUE"""),44449.66666666667)</f>
        <v>44449.66667</v>
      </c>
      <c r="B431" s="11">
        <f>IFERROR(__xludf.DUMMYFUNCTION("""COMPUTED_VALUE"""),55.61)</f>
        <v>55.61</v>
      </c>
      <c r="C431" s="12">
        <f>IFERROR(__xludf.DUMMYFUNCTION("""COMPUTED_VALUE"""),44449.66666666667)</f>
        <v>44449.66667</v>
      </c>
      <c r="D431" s="11">
        <f>IFERROR(__xludf.DUMMYFUNCTION("""COMPUTED_VALUE"""),295.71)</f>
        <v>295.71</v>
      </c>
      <c r="E431" s="12">
        <f>IFERROR(__xludf.DUMMYFUNCTION("""COMPUTED_VALUE"""),44449.66666666667)</f>
        <v>44449.66667</v>
      </c>
      <c r="F431" s="11">
        <f>IFERROR(__xludf.DUMMYFUNCTION("""COMPUTED_VALUE"""),245.42)</f>
        <v>245.42</v>
      </c>
      <c r="G431" s="12">
        <f>IFERROR(__xludf.DUMMYFUNCTION("""COMPUTED_VALUE"""),44449.66666666667)</f>
        <v>44449.66667</v>
      </c>
      <c r="H431" s="11">
        <f>IFERROR(__xludf.DUMMYFUNCTION("""COMPUTED_VALUE"""),148.97)</f>
        <v>148.97</v>
      </c>
    </row>
    <row r="432" ht="15.75" customHeight="1">
      <c r="A432" s="12">
        <f>IFERROR(__xludf.DUMMYFUNCTION("""COMPUTED_VALUE"""),44452.66666666667)</f>
        <v>44452.66667</v>
      </c>
      <c r="B432" s="11">
        <f>IFERROR(__xludf.DUMMYFUNCTION("""COMPUTED_VALUE"""),56.07)</f>
        <v>56.07</v>
      </c>
      <c r="C432" s="12">
        <f>IFERROR(__xludf.DUMMYFUNCTION("""COMPUTED_VALUE"""),44452.66666666667)</f>
        <v>44452.66667</v>
      </c>
      <c r="D432" s="11">
        <f>IFERROR(__xludf.DUMMYFUNCTION("""COMPUTED_VALUE"""),296.99)</f>
        <v>296.99</v>
      </c>
      <c r="E432" s="12">
        <f>IFERROR(__xludf.DUMMYFUNCTION("""COMPUTED_VALUE"""),44452.66666666667)</f>
        <v>44452.66667</v>
      </c>
      <c r="F432" s="11">
        <f>IFERROR(__xludf.DUMMYFUNCTION("""COMPUTED_VALUE"""),247.67)</f>
        <v>247.67</v>
      </c>
      <c r="G432" s="12">
        <f>IFERROR(__xludf.DUMMYFUNCTION("""COMPUTED_VALUE"""),44452.66666666667)</f>
        <v>44452.66667</v>
      </c>
      <c r="H432" s="11">
        <f>IFERROR(__xludf.DUMMYFUNCTION("""COMPUTED_VALUE"""),149.55)</f>
        <v>149.55</v>
      </c>
    </row>
    <row r="433" ht="15.75" customHeight="1">
      <c r="A433" s="12">
        <f>IFERROR(__xludf.DUMMYFUNCTION("""COMPUTED_VALUE"""),44453.66666666667)</f>
        <v>44453.66667</v>
      </c>
      <c r="B433" s="11">
        <f>IFERROR(__xludf.DUMMYFUNCTION("""COMPUTED_VALUE"""),55.69)</f>
        <v>55.69</v>
      </c>
      <c r="C433" s="12">
        <f>IFERROR(__xludf.DUMMYFUNCTION("""COMPUTED_VALUE"""),44453.66666666667)</f>
        <v>44453.66667</v>
      </c>
      <c r="D433" s="11">
        <f>IFERROR(__xludf.DUMMYFUNCTION("""COMPUTED_VALUE"""),299.79)</f>
        <v>299.79</v>
      </c>
      <c r="E433" s="12">
        <f>IFERROR(__xludf.DUMMYFUNCTION("""COMPUTED_VALUE"""),44453.66666666667)</f>
        <v>44453.66667</v>
      </c>
      <c r="F433" s="11">
        <f>IFERROR(__xludf.DUMMYFUNCTION("""COMPUTED_VALUE"""),248.16)</f>
        <v>248.16</v>
      </c>
      <c r="G433" s="12">
        <f>IFERROR(__xludf.DUMMYFUNCTION("""COMPUTED_VALUE"""),44453.66666666667)</f>
        <v>44453.66667</v>
      </c>
      <c r="H433" s="11">
        <f>IFERROR(__xludf.DUMMYFUNCTION("""COMPUTED_VALUE"""),148.12)</f>
        <v>148.12</v>
      </c>
    </row>
    <row r="434" ht="15.75" customHeight="1">
      <c r="A434" s="12">
        <f>IFERROR(__xludf.DUMMYFUNCTION("""COMPUTED_VALUE"""),44454.66666666667)</f>
        <v>44454.66667</v>
      </c>
      <c r="B434" s="11">
        <f>IFERROR(__xludf.DUMMYFUNCTION("""COMPUTED_VALUE"""),55.88)</f>
        <v>55.88</v>
      </c>
      <c r="C434" s="12">
        <f>IFERROR(__xludf.DUMMYFUNCTION("""COMPUTED_VALUE"""),44454.66666666667)</f>
        <v>44454.66667</v>
      </c>
      <c r="D434" s="11">
        <f>IFERROR(__xludf.DUMMYFUNCTION("""COMPUTED_VALUE"""),304.82)</f>
        <v>304.82</v>
      </c>
      <c r="E434" s="12">
        <f>IFERROR(__xludf.DUMMYFUNCTION("""COMPUTED_VALUE"""),44454.66666666667)</f>
        <v>44454.66667</v>
      </c>
      <c r="F434" s="11">
        <f>IFERROR(__xludf.DUMMYFUNCTION("""COMPUTED_VALUE"""),251.94)</f>
        <v>251.94</v>
      </c>
      <c r="G434" s="12">
        <f>IFERROR(__xludf.DUMMYFUNCTION("""COMPUTED_VALUE"""),44454.66666666667)</f>
        <v>44454.66667</v>
      </c>
      <c r="H434" s="11">
        <f>IFERROR(__xludf.DUMMYFUNCTION("""COMPUTED_VALUE"""),149.03)</f>
        <v>149.03</v>
      </c>
    </row>
    <row r="435" ht="15.75" customHeight="1">
      <c r="A435" s="12">
        <f>IFERROR(__xludf.DUMMYFUNCTION("""COMPUTED_VALUE"""),44455.66666666667)</f>
        <v>44455.66667</v>
      </c>
      <c r="B435" s="11">
        <f>IFERROR(__xludf.DUMMYFUNCTION("""COMPUTED_VALUE"""),55.35)</f>
        <v>55.35</v>
      </c>
      <c r="C435" s="12">
        <f>IFERROR(__xludf.DUMMYFUNCTION("""COMPUTED_VALUE"""),44455.66666666667)</f>
        <v>44455.66667</v>
      </c>
      <c r="D435" s="11">
        <f>IFERROR(__xludf.DUMMYFUNCTION("""COMPUTED_VALUE"""),305.22)</f>
        <v>305.22</v>
      </c>
      <c r="E435" s="12">
        <f>IFERROR(__xludf.DUMMYFUNCTION("""COMPUTED_VALUE"""),44455.66666666667)</f>
        <v>44455.66667</v>
      </c>
      <c r="F435" s="11">
        <f>IFERROR(__xludf.DUMMYFUNCTION("""COMPUTED_VALUE"""),252.33)</f>
        <v>252.33</v>
      </c>
      <c r="G435" s="12">
        <f>IFERROR(__xludf.DUMMYFUNCTION("""COMPUTED_VALUE"""),44455.66666666667)</f>
        <v>44455.66667</v>
      </c>
      <c r="H435" s="11">
        <f>IFERROR(__xludf.DUMMYFUNCTION("""COMPUTED_VALUE"""),148.79)</f>
        <v>148.79</v>
      </c>
    </row>
    <row r="436" ht="15.75" customHeight="1">
      <c r="A436" s="12">
        <f>IFERROR(__xludf.DUMMYFUNCTION("""COMPUTED_VALUE"""),44456.66666666667)</f>
        <v>44456.66667</v>
      </c>
      <c r="B436" s="11">
        <f>IFERROR(__xludf.DUMMYFUNCTION("""COMPUTED_VALUE"""),54.44)</f>
        <v>54.44</v>
      </c>
      <c r="C436" s="12">
        <f>IFERROR(__xludf.DUMMYFUNCTION("""COMPUTED_VALUE"""),44456.66666666667)</f>
        <v>44456.66667</v>
      </c>
      <c r="D436" s="11">
        <f>IFERROR(__xludf.DUMMYFUNCTION("""COMPUTED_VALUE"""),299.87)</f>
        <v>299.87</v>
      </c>
      <c r="E436" s="12">
        <f>IFERROR(__xludf.DUMMYFUNCTION("""COMPUTED_VALUE"""),44456.66666666667)</f>
        <v>44456.66667</v>
      </c>
      <c r="F436" s="11">
        <f>IFERROR(__xludf.DUMMYFUNCTION("""COMPUTED_VALUE"""),253.16)</f>
        <v>253.16</v>
      </c>
      <c r="G436" s="12">
        <f>IFERROR(__xludf.DUMMYFUNCTION("""COMPUTED_VALUE"""),44456.66666666667)</f>
        <v>44456.66667</v>
      </c>
      <c r="H436" s="11">
        <f>IFERROR(__xludf.DUMMYFUNCTION("""COMPUTED_VALUE"""),146.06)</f>
        <v>146.06</v>
      </c>
    </row>
    <row r="437" ht="15.75" customHeight="1">
      <c r="A437" s="12">
        <f>IFERROR(__xludf.DUMMYFUNCTION("""COMPUTED_VALUE"""),44459.66666666667)</f>
        <v>44459.66667</v>
      </c>
      <c r="B437" s="11">
        <f>IFERROR(__xludf.DUMMYFUNCTION("""COMPUTED_VALUE"""),54.06)</f>
        <v>54.06</v>
      </c>
      <c r="C437" s="12">
        <f>IFERROR(__xludf.DUMMYFUNCTION("""COMPUTED_VALUE"""),44459.66666666667)</f>
        <v>44459.66667</v>
      </c>
      <c r="D437" s="11">
        <f>IFERROR(__xludf.DUMMYFUNCTION("""COMPUTED_VALUE"""),294.3)</f>
        <v>294.3</v>
      </c>
      <c r="E437" s="12">
        <f>IFERROR(__xludf.DUMMYFUNCTION("""COMPUTED_VALUE"""),44459.66666666667)</f>
        <v>44459.66667</v>
      </c>
      <c r="F437" s="11">
        <f>IFERROR(__xludf.DUMMYFUNCTION("""COMPUTED_VALUE"""),243.39)</f>
        <v>243.39</v>
      </c>
      <c r="G437" s="12">
        <f>IFERROR(__xludf.DUMMYFUNCTION("""COMPUTED_VALUE"""),44459.66666666667)</f>
        <v>44459.66667</v>
      </c>
      <c r="H437" s="11">
        <f>IFERROR(__xludf.DUMMYFUNCTION("""COMPUTED_VALUE"""),142.94)</f>
        <v>142.94</v>
      </c>
    </row>
    <row r="438" ht="15.75" customHeight="1">
      <c r="A438" s="12">
        <f>IFERROR(__xludf.DUMMYFUNCTION("""COMPUTED_VALUE"""),44460.66666666667)</f>
        <v>44460.66667</v>
      </c>
      <c r="B438" s="11">
        <f>IFERROR(__xludf.DUMMYFUNCTION("""COMPUTED_VALUE"""),54.05)</f>
        <v>54.05</v>
      </c>
      <c r="C438" s="12">
        <f>IFERROR(__xludf.DUMMYFUNCTION("""COMPUTED_VALUE"""),44460.66666666667)</f>
        <v>44460.66667</v>
      </c>
      <c r="D438" s="11">
        <f>IFERROR(__xludf.DUMMYFUNCTION("""COMPUTED_VALUE"""),294.8)</f>
        <v>294.8</v>
      </c>
      <c r="E438" s="12">
        <f>IFERROR(__xludf.DUMMYFUNCTION("""COMPUTED_VALUE"""),44460.66666666667)</f>
        <v>44460.66667</v>
      </c>
      <c r="F438" s="11">
        <f>IFERROR(__xludf.DUMMYFUNCTION("""COMPUTED_VALUE"""),246.46)</f>
        <v>246.46</v>
      </c>
      <c r="G438" s="12">
        <f>IFERROR(__xludf.DUMMYFUNCTION("""COMPUTED_VALUE"""),44460.66666666667)</f>
        <v>44460.66667</v>
      </c>
      <c r="H438" s="11">
        <f>IFERROR(__xludf.DUMMYFUNCTION("""COMPUTED_VALUE"""),143.43)</f>
        <v>143.43</v>
      </c>
    </row>
    <row r="439" ht="15.75" customHeight="1">
      <c r="A439" s="12">
        <f>IFERROR(__xludf.DUMMYFUNCTION("""COMPUTED_VALUE"""),44461.66666666667)</f>
        <v>44461.66667</v>
      </c>
      <c r="B439" s="11">
        <f>IFERROR(__xludf.DUMMYFUNCTION("""COMPUTED_VALUE"""),54.13)</f>
        <v>54.13</v>
      </c>
      <c r="C439" s="12">
        <f>IFERROR(__xludf.DUMMYFUNCTION("""COMPUTED_VALUE"""),44461.66666666667)</f>
        <v>44461.66667</v>
      </c>
      <c r="D439" s="11">
        <f>IFERROR(__xludf.DUMMYFUNCTION("""COMPUTED_VALUE"""),298.58)</f>
        <v>298.58</v>
      </c>
      <c r="E439" s="12">
        <f>IFERROR(__xludf.DUMMYFUNCTION("""COMPUTED_VALUE"""),44461.66666666667)</f>
        <v>44461.66667</v>
      </c>
      <c r="F439" s="11">
        <f>IFERROR(__xludf.DUMMYFUNCTION("""COMPUTED_VALUE"""),250.65)</f>
        <v>250.65</v>
      </c>
      <c r="G439" s="12">
        <f>IFERROR(__xludf.DUMMYFUNCTION("""COMPUTED_VALUE"""),44461.66666666667)</f>
        <v>44461.66667</v>
      </c>
      <c r="H439" s="11">
        <f>IFERROR(__xludf.DUMMYFUNCTION("""COMPUTED_VALUE"""),145.85)</f>
        <v>145.85</v>
      </c>
    </row>
    <row r="440" ht="15.75" customHeight="1">
      <c r="A440" s="12">
        <f>IFERROR(__xludf.DUMMYFUNCTION("""COMPUTED_VALUE"""),44462.66666666667)</f>
        <v>44462.66667</v>
      </c>
      <c r="B440" s="11">
        <f>IFERROR(__xludf.DUMMYFUNCTION("""COMPUTED_VALUE"""),54.04)</f>
        <v>54.04</v>
      </c>
      <c r="C440" s="12">
        <f>IFERROR(__xludf.DUMMYFUNCTION("""COMPUTED_VALUE"""),44462.66666666667)</f>
        <v>44462.66667</v>
      </c>
      <c r="D440" s="11">
        <f>IFERROR(__xludf.DUMMYFUNCTION("""COMPUTED_VALUE"""),299.56)</f>
        <v>299.56</v>
      </c>
      <c r="E440" s="12">
        <f>IFERROR(__xludf.DUMMYFUNCTION("""COMPUTED_VALUE"""),44462.66666666667)</f>
        <v>44462.66667</v>
      </c>
      <c r="F440" s="11">
        <f>IFERROR(__xludf.DUMMYFUNCTION("""COMPUTED_VALUE"""),251.21)</f>
        <v>251.21</v>
      </c>
      <c r="G440" s="12">
        <f>IFERROR(__xludf.DUMMYFUNCTION("""COMPUTED_VALUE"""),44462.66666666667)</f>
        <v>44462.66667</v>
      </c>
      <c r="H440" s="11">
        <f>IFERROR(__xludf.DUMMYFUNCTION("""COMPUTED_VALUE"""),146.83)</f>
        <v>146.83</v>
      </c>
    </row>
    <row r="441" ht="15.75" customHeight="1">
      <c r="A441" s="12">
        <f>IFERROR(__xludf.DUMMYFUNCTION("""COMPUTED_VALUE"""),44463.66666666667)</f>
        <v>44463.66667</v>
      </c>
      <c r="B441" s="11">
        <f>IFERROR(__xludf.DUMMYFUNCTION("""COMPUTED_VALUE"""),53.89)</f>
        <v>53.89</v>
      </c>
      <c r="C441" s="12">
        <f>IFERROR(__xludf.DUMMYFUNCTION("""COMPUTED_VALUE"""),44463.66666666667)</f>
        <v>44463.66667</v>
      </c>
      <c r="D441" s="11">
        <f>IFERROR(__xludf.DUMMYFUNCTION("""COMPUTED_VALUE"""),299.35)</f>
        <v>299.35</v>
      </c>
      <c r="E441" s="12">
        <f>IFERROR(__xludf.DUMMYFUNCTION("""COMPUTED_VALUE"""),44463.66666666667)</f>
        <v>44463.66667</v>
      </c>
      <c r="F441" s="11">
        <f>IFERROR(__xludf.DUMMYFUNCTION("""COMPUTED_VALUE"""),258.13)</f>
        <v>258.13</v>
      </c>
      <c r="G441" s="12">
        <f>IFERROR(__xludf.DUMMYFUNCTION("""COMPUTED_VALUE"""),44463.66666666667)</f>
        <v>44463.66667</v>
      </c>
      <c r="H441" s="11">
        <f>IFERROR(__xludf.DUMMYFUNCTION("""COMPUTED_VALUE"""),146.92)</f>
        <v>146.92</v>
      </c>
    </row>
    <row r="442" ht="15.75" customHeight="1">
      <c r="A442" s="12">
        <f>IFERROR(__xludf.DUMMYFUNCTION("""COMPUTED_VALUE"""),44466.66666666667)</f>
        <v>44466.66667</v>
      </c>
      <c r="B442" s="11">
        <f>IFERROR(__xludf.DUMMYFUNCTION("""COMPUTED_VALUE"""),53.61)</f>
        <v>53.61</v>
      </c>
      <c r="C442" s="12">
        <f>IFERROR(__xludf.DUMMYFUNCTION("""COMPUTED_VALUE"""),44466.66666666667)</f>
        <v>44466.66667</v>
      </c>
      <c r="D442" s="11">
        <f>IFERROR(__xludf.DUMMYFUNCTION("""COMPUTED_VALUE"""),294.17)</f>
        <v>294.17</v>
      </c>
      <c r="E442" s="12">
        <f>IFERROR(__xludf.DUMMYFUNCTION("""COMPUTED_VALUE"""),44466.66666666667)</f>
        <v>44466.66667</v>
      </c>
      <c r="F442" s="11">
        <f>IFERROR(__xludf.DUMMYFUNCTION("""COMPUTED_VALUE"""),263.79)</f>
        <v>263.79</v>
      </c>
      <c r="G442" s="12">
        <f>IFERROR(__xludf.DUMMYFUNCTION("""COMPUTED_VALUE"""),44466.66666666667)</f>
        <v>44466.66667</v>
      </c>
      <c r="H442" s="11">
        <f>IFERROR(__xludf.DUMMYFUNCTION("""COMPUTED_VALUE"""),145.37)</f>
        <v>145.37</v>
      </c>
    </row>
    <row r="443" ht="15.75" customHeight="1">
      <c r="A443" s="12">
        <f>IFERROR(__xludf.DUMMYFUNCTION("""COMPUTED_VALUE"""),44467.66666666667)</f>
        <v>44467.66667</v>
      </c>
      <c r="B443" s="11">
        <f>IFERROR(__xludf.DUMMYFUNCTION("""COMPUTED_VALUE"""),52.64)</f>
        <v>52.64</v>
      </c>
      <c r="C443" s="12">
        <f>IFERROR(__xludf.DUMMYFUNCTION("""COMPUTED_VALUE"""),44467.66666666667)</f>
        <v>44467.66667</v>
      </c>
      <c r="D443" s="11">
        <f>IFERROR(__xludf.DUMMYFUNCTION("""COMPUTED_VALUE"""),283.52)</f>
        <v>283.52</v>
      </c>
      <c r="E443" s="12">
        <f>IFERROR(__xludf.DUMMYFUNCTION("""COMPUTED_VALUE"""),44467.66666666667)</f>
        <v>44467.66667</v>
      </c>
      <c r="F443" s="11">
        <f>IFERROR(__xludf.DUMMYFUNCTION("""COMPUTED_VALUE"""),259.19)</f>
        <v>259.19</v>
      </c>
      <c r="G443" s="12">
        <f>IFERROR(__xludf.DUMMYFUNCTION("""COMPUTED_VALUE"""),44467.66666666667)</f>
        <v>44467.66667</v>
      </c>
      <c r="H443" s="11">
        <f>IFERROR(__xludf.DUMMYFUNCTION("""COMPUTED_VALUE"""),141.91)</f>
        <v>141.91</v>
      </c>
    </row>
    <row r="444" ht="15.75" customHeight="1">
      <c r="A444" s="12">
        <f>IFERROR(__xludf.DUMMYFUNCTION("""COMPUTED_VALUE"""),44468.66666666667)</f>
        <v>44468.66667</v>
      </c>
      <c r="B444" s="11">
        <f>IFERROR(__xludf.DUMMYFUNCTION("""COMPUTED_VALUE"""),52.96)</f>
        <v>52.96</v>
      </c>
      <c r="C444" s="12">
        <f>IFERROR(__xludf.DUMMYFUNCTION("""COMPUTED_VALUE"""),44468.66666666667)</f>
        <v>44468.66667</v>
      </c>
      <c r="D444" s="11">
        <f>IFERROR(__xludf.DUMMYFUNCTION("""COMPUTED_VALUE"""),284.0)</f>
        <v>284</v>
      </c>
      <c r="E444" s="12">
        <f>IFERROR(__xludf.DUMMYFUNCTION("""COMPUTED_VALUE"""),44468.66666666667)</f>
        <v>44468.66667</v>
      </c>
      <c r="F444" s="11">
        <f>IFERROR(__xludf.DUMMYFUNCTION("""COMPUTED_VALUE"""),260.44)</f>
        <v>260.44</v>
      </c>
      <c r="G444" s="12">
        <f>IFERROR(__xludf.DUMMYFUNCTION("""COMPUTED_VALUE"""),44468.66666666667)</f>
        <v>44468.66667</v>
      </c>
      <c r="H444" s="11">
        <f>IFERROR(__xludf.DUMMYFUNCTION("""COMPUTED_VALUE"""),142.83)</f>
        <v>142.83</v>
      </c>
    </row>
    <row r="445" ht="15.75" customHeight="1">
      <c r="A445" s="12">
        <f>IFERROR(__xludf.DUMMYFUNCTION("""COMPUTED_VALUE"""),44469.66666666667)</f>
        <v>44469.66667</v>
      </c>
      <c r="B445" s="11">
        <f>IFERROR(__xludf.DUMMYFUNCTION("""COMPUTED_VALUE"""),52.47)</f>
        <v>52.47</v>
      </c>
      <c r="C445" s="12">
        <f>IFERROR(__xludf.DUMMYFUNCTION("""COMPUTED_VALUE"""),44469.66666666667)</f>
        <v>44469.66667</v>
      </c>
      <c r="D445" s="11">
        <f>IFERROR(__xludf.DUMMYFUNCTION("""COMPUTED_VALUE"""),281.92)</f>
        <v>281.92</v>
      </c>
      <c r="E445" s="12">
        <f>IFERROR(__xludf.DUMMYFUNCTION("""COMPUTED_VALUE"""),44469.66666666667)</f>
        <v>44469.66667</v>
      </c>
      <c r="F445" s="11">
        <f>IFERROR(__xludf.DUMMYFUNCTION("""COMPUTED_VALUE"""),258.49)</f>
        <v>258.49</v>
      </c>
      <c r="G445" s="12">
        <f>IFERROR(__xludf.DUMMYFUNCTION("""COMPUTED_VALUE"""),44469.66666666667)</f>
        <v>44469.66667</v>
      </c>
      <c r="H445" s="11">
        <f>IFERROR(__xludf.DUMMYFUNCTION("""COMPUTED_VALUE"""),141.5)</f>
        <v>141.5</v>
      </c>
    </row>
    <row r="446" ht="15.75" customHeight="1">
      <c r="A446" s="12">
        <f>IFERROR(__xludf.DUMMYFUNCTION("""COMPUTED_VALUE"""),44470.66666666667)</f>
        <v>44470.66667</v>
      </c>
      <c r="B446" s="11">
        <f>IFERROR(__xludf.DUMMYFUNCTION("""COMPUTED_VALUE"""),53.02)</f>
        <v>53.02</v>
      </c>
      <c r="C446" s="12">
        <f>IFERROR(__xludf.DUMMYFUNCTION("""COMPUTED_VALUE"""),44470.66666666667)</f>
        <v>44470.66667</v>
      </c>
      <c r="D446" s="11">
        <f>IFERROR(__xludf.DUMMYFUNCTION("""COMPUTED_VALUE"""),289.1)</f>
        <v>289.1</v>
      </c>
      <c r="E446" s="12">
        <f>IFERROR(__xludf.DUMMYFUNCTION("""COMPUTED_VALUE"""),44470.66666666667)</f>
        <v>44470.66667</v>
      </c>
      <c r="F446" s="11">
        <f>IFERROR(__xludf.DUMMYFUNCTION("""COMPUTED_VALUE"""),258.41)</f>
        <v>258.41</v>
      </c>
      <c r="G446" s="12">
        <f>IFERROR(__xludf.DUMMYFUNCTION("""COMPUTED_VALUE"""),44470.66666666667)</f>
        <v>44470.66667</v>
      </c>
      <c r="H446" s="11">
        <f>IFERROR(__xludf.DUMMYFUNCTION("""COMPUTED_VALUE"""),142.65)</f>
        <v>142.65</v>
      </c>
    </row>
    <row r="447" ht="15.75" customHeight="1">
      <c r="A447" s="12">
        <f>IFERROR(__xludf.DUMMYFUNCTION("""COMPUTED_VALUE"""),44473.66666666667)</f>
        <v>44473.66667</v>
      </c>
      <c r="B447" s="11">
        <f>IFERROR(__xludf.DUMMYFUNCTION("""COMPUTED_VALUE"""),52.99)</f>
        <v>52.99</v>
      </c>
      <c r="C447" s="12">
        <f>IFERROR(__xludf.DUMMYFUNCTION("""COMPUTED_VALUE"""),44473.66666666667)</f>
        <v>44473.66667</v>
      </c>
      <c r="D447" s="11">
        <f>IFERROR(__xludf.DUMMYFUNCTION("""COMPUTED_VALUE"""),283.11)</f>
        <v>283.11</v>
      </c>
      <c r="E447" s="12">
        <f>IFERROR(__xludf.DUMMYFUNCTION("""COMPUTED_VALUE"""),44473.66666666667)</f>
        <v>44473.66667</v>
      </c>
      <c r="F447" s="11">
        <f>IFERROR(__xludf.DUMMYFUNCTION("""COMPUTED_VALUE"""),260.51)</f>
        <v>260.51</v>
      </c>
      <c r="G447" s="12">
        <f>IFERROR(__xludf.DUMMYFUNCTION("""COMPUTED_VALUE"""),44473.66666666667)</f>
        <v>44473.66667</v>
      </c>
      <c r="H447" s="11">
        <f>IFERROR(__xludf.DUMMYFUNCTION("""COMPUTED_VALUE"""),139.14)</f>
        <v>139.14</v>
      </c>
    </row>
    <row r="448" ht="15.75" customHeight="1">
      <c r="A448" s="12">
        <f>IFERROR(__xludf.DUMMYFUNCTION("""COMPUTED_VALUE"""),44474.66666666667)</f>
        <v>44474.66667</v>
      </c>
      <c r="B448" s="11">
        <f>IFERROR(__xludf.DUMMYFUNCTION("""COMPUTED_VALUE"""),53.08)</f>
        <v>53.08</v>
      </c>
      <c r="C448" s="12">
        <f>IFERROR(__xludf.DUMMYFUNCTION("""COMPUTED_VALUE"""),44474.66666666667)</f>
        <v>44474.66667</v>
      </c>
      <c r="D448" s="11">
        <f>IFERROR(__xludf.DUMMYFUNCTION("""COMPUTED_VALUE"""),288.76)</f>
        <v>288.76</v>
      </c>
      <c r="E448" s="12">
        <f>IFERROR(__xludf.DUMMYFUNCTION("""COMPUTED_VALUE"""),44474.66666666667)</f>
        <v>44474.66667</v>
      </c>
      <c r="F448" s="11">
        <f>IFERROR(__xludf.DUMMYFUNCTION("""COMPUTED_VALUE"""),260.2)</f>
        <v>260.2</v>
      </c>
      <c r="G448" s="12">
        <f>IFERROR(__xludf.DUMMYFUNCTION("""COMPUTED_VALUE"""),44474.66666666667)</f>
        <v>44474.66667</v>
      </c>
      <c r="H448" s="11">
        <f>IFERROR(__xludf.DUMMYFUNCTION("""COMPUTED_VALUE"""),141.11)</f>
        <v>141.11</v>
      </c>
    </row>
    <row r="449" ht="15.75" customHeight="1">
      <c r="A449" s="12">
        <f>IFERROR(__xludf.DUMMYFUNCTION("""COMPUTED_VALUE"""),44475.66666666667)</f>
        <v>44475.66667</v>
      </c>
      <c r="B449" s="11">
        <f>IFERROR(__xludf.DUMMYFUNCTION("""COMPUTED_VALUE"""),53.71)</f>
        <v>53.71</v>
      </c>
      <c r="C449" s="12">
        <f>IFERROR(__xludf.DUMMYFUNCTION("""COMPUTED_VALUE"""),44475.66666666667)</f>
        <v>44475.66667</v>
      </c>
      <c r="D449" s="11">
        <f>IFERROR(__xludf.DUMMYFUNCTION("""COMPUTED_VALUE"""),293.11)</f>
        <v>293.11</v>
      </c>
      <c r="E449" s="12">
        <f>IFERROR(__xludf.DUMMYFUNCTION("""COMPUTED_VALUE"""),44475.66666666667)</f>
        <v>44475.66667</v>
      </c>
      <c r="F449" s="11">
        <f>IFERROR(__xludf.DUMMYFUNCTION("""COMPUTED_VALUE"""),260.92)</f>
        <v>260.92</v>
      </c>
      <c r="G449" s="12">
        <f>IFERROR(__xludf.DUMMYFUNCTION("""COMPUTED_VALUE"""),44475.66666666667)</f>
        <v>44475.66667</v>
      </c>
      <c r="H449" s="11">
        <f>IFERROR(__xludf.DUMMYFUNCTION("""COMPUTED_VALUE"""),142.0)</f>
        <v>142</v>
      </c>
    </row>
    <row r="450" ht="15.75" customHeight="1">
      <c r="A450" s="12">
        <f>IFERROR(__xludf.DUMMYFUNCTION("""COMPUTED_VALUE"""),44476.66666666667)</f>
        <v>44476.66667</v>
      </c>
      <c r="B450" s="11">
        <f>IFERROR(__xludf.DUMMYFUNCTION("""COMPUTED_VALUE"""),53.88)</f>
        <v>53.88</v>
      </c>
      <c r="C450" s="12">
        <f>IFERROR(__xludf.DUMMYFUNCTION("""COMPUTED_VALUE"""),44476.66666666667)</f>
        <v>44476.66667</v>
      </c>
      <c r="D450" s="11">
        <f>IFERROR(__xludf.DUMMYFUNCTION("""COMPUTED_VALUE"""),294.85)</f>
        <v>294.85</v>
      </c>
      <c r="E450" s="12">
        <f>IFERROR(__xludf.DUMMYFUNCTION("""COMPUTED_VALUE"""),44476.66666666667)</f>
        <v>44476.66667</v>
      </c>
      <c r="F450" s="11">
        <f>IFERROR(__xludf.DUMMYFUNCTION("""COMPUTED_VALUE"""),264.54)</f>
        <v>264.54</v>
      </c>
      <c r="G450" s="12">
        <f>IFERROR(__xludf.DUMMYFUNCTION("""COMPUTED_VALUE"""),44476.66666666667)</f>
        <v>44476.66667</v>
      </c>
      <c r="H450" s="11">
        <f>IFERROR(__xludf.DUMMYFUNCTION("""COMPUTED_VALUE"""),143.29)</f>
        <v>143.29</v>
      </c>
    </row>
    <row r="451" ht="15.75" customHeight="1">
      <c r="A451" s="12">
        <f>IFERROR(__xludf.DUMMYFUNCTION("""COMPUTED_VALUE"""),44477.66666666667)</f>
        <v>44477.66667</v>
      </c>
      <c r="B451" s="11">
        <f>IFERROR(__xludf.DUMMYFUNCTION("""COMPUTED_VALUE"""),54.12)</f>
        <v>54.12</v>
      </c>
      <c r="C451" s="12">
        <f>IFERROR(__xludf.DUMMYFUNCTION("""COMPUTED_VALUE"""),44477.66666666667)</f>
        <v>44477.66667</v>
      </c>
      <c r="D451" s="11">
        <f>IFERROR(__xludf.DUMMYFUNCTION("""COMPUTED_VALUE"""),294.85)</f>
        <v>294.85</v>
      </c>
      <c r="E451" s="12">
        <f>IFERROR(__xludf.DUMMYFUNCTION("""COMPUTED_VALUE"""),44477.66666666667)</f>
        <v>44477.66667</v>
      </c>
      <c r="F451" s="11">
        <f>IFERROR(__xludf.DUMMYFUNCTION("""COMPUTED_VALUE"""),261.83)</f>
        <v>261.83</v>
      </c>
      <c r="G451" s="12">
        <f>IFERROR(__xludf.DUMMYFUNCTION("""COMPUTED_VALUE"""),44477.66666666667)</f>
        <v>44477.66667</v>
      </c>
      <c r="H451" s="11">
        <f>IFERROR(__xludf.DUMMYFUNCTION("""COMPUTED_VALUE"""),142.9)</f>
        <v>142.9</v>
      </c>
    </row>
    <row r="452" ht="15.75" customHeight="1">
      <c r="A452" s="12">
        <f>IFERROR(__xludf.DUMMYFUNCTION("""COMPUTED_VALUE"""),44480.66666666667)</f>
        <v>44480.66667</v>
      </c>
      <c r="B452" s="11">
        <f>IFERROR(__xludf.DUMMYFUNCTION("""COMPUTED_VALUE"""),54.23)</f>
        <v>54.23</v>
      </c>
      <c r="C452" s="12">
        <f>IFERROR(__xludf.DUMMYFUNCTION("""COMPUTED_VALUE"""),44480.66666666667)</f>
        <v>44480.66667</v>
      </c>
      <c r="D452" s="11">
        <f>IFERROR(__xludf.DUMMYFUNCTION("""COMPUTED_VALUE"""),294.23)</f>
        <v>294.23</v>
      </c>
      <c r="E452" s="12">
        <f>IFERROR(__xludf.DUMMYFUNCTION("""COMPUTED_VALUE"""),44480.66666666667)</f>
        <v>44480.66667</v>
      </c>
      <c r="F452" s="11">
        <f>IFERROR(__xludf.DUMMYFUNCTION("""COMPUTED_VALUE"""),263.98)</f>
        <v>263.98</v>
      </c>
      <c r="G452" s="12">
        <f>IFERROR(__xludf.DUMMYFUNCTION("""COMPUTED_VALUE"""),44480.66666666667)</f>
        <v>44480.66667</v>
      </c>
      <c r="H452" s="11">
        <f>IFERROR(__xludf.DUMMYFUNCTION("""COMPUTED_VALUE"""),142.81)</f>
        <v>142.81</v>
      </c>
    </row>
    <row r="453" ht="15.75" customHeight="1">
      <c r="A453" s="12">
        <f>IFERROR(__xludf.DUMMYFUNCTION("""COMPUTED_VALUE"""),44481.66666666667)</f>
        <v>44481.66667</v>
      </c>
      <c r="B453" s="11">
        <f>IFERROR(__xludf.DUMMYFUNCTION("""COMPUTED_VALUE"""),54.23)</f>
        <v>54.23</v>
      </c>
      <c r="C453" s="12">
        <f>IFERROR(__xludf.DUMMYFUNCTION("""COMPUTED_VALUE"""),44481.66666666667)</f>
        <v>44481.66667</v>
      </c>
      <c r="D453" s="11">
        <f>IFERROR(__xludf.DUMMYFUNCTION("""COMPUTED_VALUE"""),292.88)</f>
        <v>292.88</v>
      </c>
      <c r="E453" s="12">
        <f>IFERROR(__xludf.DUMMYFUNCTION("""COMPUTED_VALUE"""),44481.66666666667)</f>
        <v>44481.66667</v>
      </c>
      <c r="F453" s="11">
        <f>IFERROR(__xludf.DUMMYFUNCTION("""COMPUTED_VALUE"""),268.57)</f>
        <v>268.57</v>
      </c>
      <c r="G453" s="12">
        <f>IFERROR(__xludf.DUMMYFUNCTION("""COMPUTED_VALUE"""),44481.66666666667)</f>
        <v>44481.66667</v>
      </c>
      <c r="H453" s="11">
        <f>IFERROR(__xludf.DUMMYFUNCTION("""COMPUTED_VALUE"""),141.51)</f>
        <v>141.51</v>
      </c>
    </row>
    <row r="454" ht="15.75" customHeight="1">
      <c r="A454" s="12">
        <f>IFERROR(__xludf.DUMMYFUNCTION("""COMPUTED_VALUE"""),44482.66666666667)</f>
        <v>44482.66667</v>
      </c>
      <c r="B454" s="11">
        <f>IFERROR(__xludf.DUMMYFUNCTION("""COMPUTED_VALUE"""),54.24)</f>
        <v>54.24</v>
      </c>
      <c r="C454" s="12">
        <f>IFERROR(__xludf.DUMMYFUNCTION("""COMPUTED_VALUE"""),44482.66666666667)</f>
        <v>44482.66667</v>
      </c>
      <c r="D454" s="11">
        <f>IFERROR(__xludf.DUMMYFUNCTION("""COMPUTED_VALUE"""),296.31)</f>
        <v>296.31</v>
      </c>
      <c r="E454" s="12">
        <f>IFERROR(__xludf.DUMMYFUNCTION("""COMPUTED_VALUE"""),44482.66666666667)</f>
        <v>44482.66667</v>
      </c>
      <c r="F454" s="11">
        <f>IFERROR(__xludf.DUMMYFUNCTION("""COMPUTED_VALUE"""),270.36)</f>
        <v>270.36</v>
      </c>
      <c r="G454" s="12">
        <f>IFERROR(__xludf.DUMMYFUNCTION("""COMPUTED_VALUE"""),44482.66666666667)</f>
        <v>44482.66667</v>
      </c>
      <c r="H454" s="11">
        <f>IFERROR(__xludf.DUMMYFUNCTION("""COMPUTED_VALUE"""),140.91)</f>
        <v>140.91</v>
      </c>
    </row>
    <row r="455" ht="15.75" customHeight="1">
      <c r="A455" s="12">
        <f>IFERROR(__xludf.DUMMYFUNCTION("""COMPUTED_VALUE"""),44483.66666666667)</f>
        <v>44483.66667</v>
      </c>
      <c r="B455" s="11">
        <f>IFERROR(__xludf.DUMMYFUNCTION("""COMPUTED_VALUE"""),54.61)</f>
        <v>54.61</v>
      </c>
      <c r="C455" s="12">
        <f>IFERROR(__xludf.DUMMYFUNCTION("""COMPUTED_VALUE"""),44483.66666666667)</f>
        <v>44483.66667</v>
      </c>
      <c r="D455" s="11">
        <f>IFERROR(__xludf.DUMMYFUNCTION("""COMPUTED_VALUE"""),302.75)</f>
        <v>302.75</v>
      </c>
      <c r="E455" s="12">
        <f>IFERROR(__xludf.DUMMYFUNCTION("""COMPUTED_VALUE"""),44483.66666666667)</f>
        <v>44483.66667</v>
      </c>
      <c r="F455" s="11">
        <f>IFERROR(__xludf.DUMMYFUNCTION("""COMPUTED_VALUE"""),272.77)</f>
        <v>272.77</v>
      </c>
      <c r="G455" s="12">
        <f>IFERROR(__xludf.DUMMYFUNCTION("""COMPUTED_VALUE"""),44483.66666666667)</f>
        <v>44483.66667</v>
      </c>
      <c r="H455" s="11">
        <f>IFERROR(__xludf.DUMMYFUNCTION("""COMPUTED_VALUE"""),143.76)</f>
        <v>143.76</v>
      </c>
    </row>
    <row r="456" ht="15.75" customHeight="1">
      <c r="A456" s="12">
        <f>IFERROR(__xludf.DUMMYFUNCTION("""COMPUTED_VALUE"""),44484.66666666667)</f>
        <v>44484.66667</v>
      </c>
      <c r="B456" s="11">
        <f>IFERROR(__xludf.DUMMYFUNCTION("""COMPUTED_VALUE"""),54.48)</f>
        <v>54.48</v>
      </c>
      <c r="C456" s="12">
        <f>IFERROR(__xludf.DUMMYFUNCTION("""COMPUTED_VALUE"""),44484.66666666667)</f>
        <v>44484.66667</v>
      </c>
      <c r="D456" s="11">
        <f>IFERROR(__xludf.DUMMYFUNCTION("""COMPUTED_VALUE"""),304.21)</f>
        <v>304.21</v>
      </c>
      <c r="E456" s="12">
        <f>IFERROR(__xludf.DUMMYFUNCTION("""COMPUTED_VALUE"""),44484.66666666667)</f>
        <v>44484.66667</v>
      </c>
      <c r="F456" s="11">
        <f>IFERROR(__xludf.DUMMYFUNCTION("""COMPUTED_VALUE"""),281.01)</f>
        <v>281.01</v>
      </c>
      <c r="G456" s="12">
        <f>IFERROR(__xludf.DUMMYFUNCTION("""COMPUTED_VALUE"""),44484.66666666667)</f>
        <v>44484.66667</v>
      </c>
      <c r="H456" s="11">
        <f>IFERROR(__xludf.DUMMYFUNCTION("""COMPUTED_VALUE"""),144.84)</f>
        <v>144.84</v>
      </c>
    </row>
    <row r="457" ht="15.75" customHeight="1">
      <c r="A457" s="12">
        <f>IFERROR(__xludf.DUMMYFUNCTION("""COMPUTED_VALUE"""),44487.66666666667)</f>
        <v>44487.66667</v>
      </c>
      <c r="B457" s="11">
        <f>IFERROR(__xludf.DUMMYFUNCTION("""COMPUTED_VALUE"""),53.94)</f>
        <v>53.94</v>
      </c>
      <c r="C457" s="12">
        <f>IFERROR(__xludf.DUMMYFUNCTION("""COMPUTED_VALUE"""),44487.66666666667)</f>
        <v>44487.66667</v>
      </c>
      <c r="D457" s="11">
        <f>IFERROR(__xludf.DUMMYFUNCTION("""COMPUTED_VALUE"""),307.29)</f>
        <v>307.29</v>
      </c>
      <c r="E457" s="12">
        <f>IFERROR(__xludf.DUMMYFUNCTION("""COMPUTED_VALUE"""),44487.66666666667)</f>
        <v>44487.66667</v>
      </c>
      <c r="F457" s="11">
        <f>IFERROR(__xludf.DUMMYFUNCTION("""COMPUTED_VALUE"""),290.04)</f>
        <v>290.04</v>
      </c>
      <c r="G457" s="12">
        <f>IFERROR(__xludf.DUMMYFUNCTION("""COMPUTED_VALUE"""),44487.66666666667)</f>
        <v>44487.66667</v>
      </c>
      <c r="H457" s="11">
        <f>IFERROR(__xludf.DUMMYFUNCTION("""COMPUTED_VALUE"""),146.55)</f>
        <v>146.55</v>
      </c>
    </row>
    <row r="458" ht="15.75" customHeight="1">
      <c r="A458" s="12">
        <f>IFERROR(__xludf.DUMMYFUNCTION("""COMPUTED_VALUE"""),44488.66666666667)</f>
        <v>44488.66667</v>
      </c>
      <c r="B458" s="11">
        <f>IFERROR(__xludf.DUMMYFUNCTION("""COMPUTED_VALUE"""),54.15)</f>
        <v>54.15</v>
      </c>
      <c r="C458" s="12">
        <f>IFERROR(__xludf.DUMMYFUNCTION("""COMPUTED_VALUE"""),44488.66666666667)</f>
        <v>44488.66667</v>
      </c>
      <c r="D458" s="11">
        <f>IFERROR(__xludf.DUMMYFUNCTION("""COMPUTED_VALUE"""),308.23)</f>
        <v>308.23</v>
      </c>
      <c r="E458" s="12">
        <f>IFERROR(__xludf.DUMMYFUNCTION("""COMPUTED_VALUE"""),44488.66666666667)</f>
        <v>44488.66667</v>
      </c>
      <c r="F458" s="11">
        <f>IFERROR(__xludf.DUMMYFUNCTION("""COMPUTED_VALUE"""),288.09)</f>
        <v>288.09</v>
      </c>
      <c r="G458" s="12">
        <f>IFERROR(__xludf.DUMMYFUNCTION("""COMPUTED_VALUE"""),44488.66666666667)</f>
        <v>44488.66667</v>
      </c>
      <c r="H458" s="11">
        <f>IFERROR(__xludf.DUMMYFUNCTION("""COMPUTED_VALUE"""),148.76)</f>
        <v>148.76</v>
      </c>
    </row>
    <row r="459" ht="15.75" customHeight="1">
      <c r="A459" s="12">
        <f>IFERROR(__xludf.DUMMYFUNCTION("""COMPUTED_VALUE"""),44489.66666666667)</f>
        <v>44489.66667</v>
      </c>
      <c r="B459" s="11">
        <f>IFERROR(__xludf.DUMMYFUNCTION("""COMPUTED_VALUE"""),54.63)</f>
        <v>54.63</v>
      </c>
      <c r="C459" s="12">
        <f>IFERROR(__xludf.DUMMYFUNCTION("""COMPUTED_VALUE"""),44489.66666666667)</f>
        <v>44489.66667</v>
      </c>
      <c r="D459" s="11">
        <f>IFERROR(__xludf.DUMMYFUNCTION("""COMPUTED_VALUE"""),307.41)</f>
        <v>307.41</v>
      </c>
      <c r="E459" s="12">
        <f>IFERROR(__xludf.DUMMYFUNCTION("""COMPUTED_VALUE"""),44489.66666666667)</f>
        <v>44489.66667</v>
      </c>
      <c r="F459" s="11">
        <f>IFERROR(__xludf.DUMMYFUNCTION("""COMPUTED_VALUE"""),288.6)</f>
        <v>288.6</v>
      </c>
      <c r="G459" s="12">
        <f>IFERROR(__xludf.DUMMYFUNCTION("""COMPUTED_VALUE"""),44489.66666666667)</f>
        <v>44489.66667</v>
      </c>
      <c r="H459" s="11">
        <f>IFERROR(__xludf.DUMMYFUNCTION("""COMPUTED_VALUE"""),149.26)</f>
        <v>149.26</v>
      </c>
    </row>
    <row r="460" ht="15.75" customHeight="1">
      <c r="A460" s="12">
        <f>IFERROR(__xludf.DUMMYFUNCTION("""COMPUTED_VALUE"""),44490.66666666667)</f>
        <v>44490.66667</v>
      </c>
      <c r="B460" s="11">
        <f>IFERROR(__xludf.DUMMYFUNCTION("""COMPUTED_VALUE"""),54.35)</f>
        <v>54.35</v>
      </c>
      <c r="C460" s="12">
        <f>IFERROR(__xludf.DUMMYFUNCTION("""COMPUTED_VALUE"""),44490.66666666667)</f>
        <v>44490.66667</v>
      </c>
      <c r="D460" s="11">
        <f>IFERROR(__xludf.DUMMYFUNCTION("""COMPUTED_VALUE"""),310.76)</f>
        <v>310.76</v>
      </c>
      <c r="E460" s="12">
        <f>IFERROR(__xludf.DUMMYFUNCTION("""COMPUTED_VALUE"""),44490.66666666667)</f>
        <v>44490.66667</v>
      </c>
      <c r="F460" s="11">
        <f>IFERROR(__xludf.DUMMYFUNCTION("""COMPUTED_VALUE"""),298.0)</f>
        <v>298</v>
      </c>
      <c r="G460" s="12">
        <f>IFERROR(__xludf.DUMMYFUNCTION("""COMPUTED_VALUE"""),44490.66666666667)</f>
        <v>44490.66667</v>
      </c>
      <c r="H460" s="11">
        <f>IFERROR(__xludf.DUMMYFUNCTION("""COMPUTED_VALUE"""),149.48)</f>
        <v>149.48</v>
      </c>
    </row>
    <row r="461" ht="15.75" customHeight="1">
      <c r="A461" s="12">
        <f>IFERROR(__xludf.DUMMYFUNCTION("""COMPUTED_VALUE"""),44491.66666666667)</f>
        <v>44491.66667</v>
      </c>
      <c r="B461" s="11">
        <f>IFERROR(__xludf.DUMMYFUNCTION("""COMPUTED_VALUE"""),54.45)</f>
        <v>54.45</v>
      </c>
      <c r="C461" s="12">
        <f>IFERROR(__xludf.DUMMYFUNCTION("""COMPUTED_VALUE"""),44491.66666666667)</f>
        <v>44491.66667</v>
      </c>
      <c r="D461" s="11">
        <f>IFERROR(__xludf.DUMMYFUNCTION("""COMPUTED_VALUE"""),309.16)</f>
        <v>309.16</v>
      </c>
      <c r="E461" s="12">
        <f>IFERROR(__xludf.DUMMYFUNCTION("""COMPUTED_VALUE"""),44491.66666666667)</f>
        <v>44491.66667</v>
      </c>
      <c r="F461" s="11">
        <f>IFERROR(__xludf.DUMMYFUNCTION("""COMPUTED_VALUE"""),303.23)</f>
        <v>303.23</v>
      </c>
      <c r="G461" s="12">
        <f>IFERROR(__xludf.DUMMYFUNCTION("""COMPUTED_VALUE"""),44491.66666666667)</f>
        <v>44491.66667</v>
      </c>
      <c r="H461" s="11">
        <f>IFERROR(__xludf.DUMMYFUNCTION("""COMPUTED_VALUE"""),148.69)</f>
        <v>148.69</v>
      </c>
    </row>
    <row r="462" ht="15.75" customHeight="1">
      <c r="A462" s="12">
        <f>IFERROR(__xludf.DUMMYFUNCTION("""COMPUTED_VALUE"""),44494.66666666667)</f>
        <v>44494.66667</v>
      </c>
      <c r="B462" s="11">
        <f>IFERROR(__xludf.DUMMYFUNCTION("""COMPUTED_VALUE"""),54.23)</f>
        <v>54.23</v>
      </c>
      <c r="C462" s="12">
        <f>IFERROR(__xludf.DUMMYFUNCTION("""COMPUTED_VALUE"""),44494.66666666667)</f>
        <v>44494.66667</v>
      </c>
      <c r="D462" s="11">
        <f>IFERROR(__xludf.DUMMYFUNCTION("""COMPUTED_VALUE"""),308.13)</f>
        <v>308.13</v>
      </c>
      <c r="E462" s="12">
        <f>IFERROR(__xludf.DUMMYFUNCTION("""COMPUTED_VALUE"""),44494.66666666667)</f>
        <v>44494.66667</v>
      </c>
      <c r="F462" s="11">
        <f>IFERROR(__xludf.DUMMYFUNCTION("""COMPUTED_VALUE"""),341.62)</f>
        <v>341.62</v>
      </c>
      <c r="G462" s="12">
        <f>IFERROR(__xludf.DUMMYFUNCTION("""COMPUTED_VALUE"""),44494.66666666667)</f>
        <v>44494.66667</v>
      </c>
      <c r="H462" s="11">
        <f>IFERROR(__xludf.DUMMYFUNCTION("""COMPUTED_VALUE"""),148.64)</f>
        <v>148.64</v>
      </c>
    </row>
    <row r="463" ht="15.75" customHeight="1">
      <c r="A463" s="12">
        <f>IFERROR(__xludf.DUMMYFUNCTION("""COMPUTED_VALUE"""),44495.66666666667)</f>
        <v>44495.66667</v>
      </c>
      <c r="B463" s="11">
        <f>IFERROR(__xludf.DUMMYFUNCTION("""COMPUTED_VALUE"""),54.47)</f>
        <v>54.47</v>
      </c>
      <c r="C463" s="12">
        <f>IFERROR(__xludf.DUMMYFUNCTION("""COMPUTED_VALUE"""),44495.66666666667)</f>
        <v>44495.66667</v>
      </c>
      <c r="D463" s="11">
        <f>IFERROR(__xludf.DUMMYFUNCTION("""COMPUTED_VALUE"""),310.11)</f>
        <v>310.11</v>
      </c>
      <c r="E463" s="12">
        <f>IFERROR(__xludf.DUMMYFUNCTION("""COMPUTED_VALUE"""),44495.66666666667)</f>
        <v>44495.66667</v>
      </c>
      <c r="F463" s="11">
        <f>IFERROR(__xludf.DUMMYFUNCTION("""COMPUTED_VALUE"""),339.48)</f>
        <v>339.48</v>
      </c>
      <c r="G463" s="12">
        <f>IFERROR(__xludf.DUMMYFUNCTION("""COMPUTED_VALUE"""),44495.66666666667)</f>
        <v>44495.66667</v>
      </c>
      <c r="H463" s="11">
        <f>IFERROR(__xludf.DUMMYFUNCTION("""COMPUTED_VALUE"""),149.32)</f>
        <v>149.32</v>
      </c>
    </row>
    <row r="464" ht="15.75" customHeight="1">
      <c r="A464" s="12">
        <f>IFERROR(__xludf.DUMMYFUNCTION("""COMPUTED_VALUE"""),44496.66666666667)</f>
        <v>44496.66667</v>
      </c>
      <c r="B464" s="11">
        <f>IFERROR(__xludf.DUMMYFUNCTION("""COMPUTED_VALUE"""),55.52)</f>
        <v>55.52</v>
      </c>
      <c r="C464" s="12">
        <f>IFERROR(__xludf.DUMMYFUNCTION("""COMPUTED_VALUE"""),44496.66666666667)</f>
        <v>44496.66667</v>
      </c>
      <c r="D464" s="11">
        <f>IFERROR(__xludf.DUMMYFUNCTION("""COMPUTED_VALUE"""),323.17)</f>
        <v>323.17</v>
      </c>
      <c r="E464" s="12">
        <f>IFERROR(__xludf.DUMMYFUNCTION("""COMPUTED_VALUE"""),44496.66666666667)</f>
        <v>44496.66667</v>
      </c>
      <c r="F464" s="11">
        <f>IFERROR(__xludf.DUMMYFUNCTION("""COMPUTED_VALUE"""),345.95)</f>
        <v>345.95</v>
      </c>
      <c r="G464" s="12">
        <f>IFERROR(__xludf.DUMMYFUNCTION("""COMPUTED_VALUE"""),44496.66666666667)</f>
        <v>44496.66667</v>
      </c>
      <c r="H464" s="11">
        <f>IFERROR(__xludf.DUMMYFUNCTION("""COMPUTED_VALUE"""),148.85)</f>
        <v>148.85</v>
      </c>
    </row>
    <row r="465" ht="15.75" customHeight="1">
      <c r="A465" s="12">
        <f>IFERROR(__xludf.DUMMYFUNCTION("""COMPUTED_VALUE"""),44497.66666666667)</f>
        <v>44497.66667</v>
      </c>
      <c r="B465" s="11">
        <f>IFERROR(__xludf.DUMMYFUNCTION("""COMPUTED_VALUE"""),56.04)</f>
        <v>56.04</v>
      </c>
      <c r="C465" s="12">
        <f>IFERROR(__xludf.DUMMYFUNCTION("""COMPUTED_VALUE"""),44497.66666666667)</f>
        <v>44497.66667</v>
      </c>
      <c r="D465" s="11">
        <f>IFERROR(__xludf.DUMMYFUNCTION("""COMPUTED_VALUE"""),324.35)</f>
        <v>324.35</v>
      </c>
      <c r="E465" s="12">
        <f>IFERROR(__xludf.DUMMYFUNCTION("""COMPUTED_VALUE"""),44497.66666666667)</f>
        <v>44497.66667</v>
      </c>
      <c r="F465" s="11">
        <f>IFERROR(__xludf.DUMMYFUNCTION("""COMPUTED_VALUE"""),359.01)</f>
        <v>359.01</v>
      </c>
      <c r="G465" s="12">
        <f>IFERROR(__xludf.DUMMYFUNCTION("""COMPUTED_VALUE"""),44497.66666666667)</f>
        <v>44497.66667</v>
      </c>
      <c r="H465" s="11">
        <f>IFERROR(__xludf.DUMMYFUNCTION("""COMPUTED_VALUE"""),152.57)</f>
        <v>152.57</v>
      </c>
    </row>
    <row r="466" ht="15.75" customHeight="1">
      <c r="A466" s="12">
        <f>IFERROR(__xludf.DUMMYFUNCTION("""COMPUTED_VALUE"""),44498.66666666667)</f>
        <v>44498.66667</v>
      </c>
      <c r="B466" s="11">
        <f>IFERROR(__xludf.DUMMYFUNCTION("""COMPUTED_VALUE"""),56.37)</f>
        <v>56.37</v>
      </c>
      <c r="C466" s="12">
        <f>IFERROR(__xludf.DUMMYFUNCTION("""COMPUTED_VALUE"""),44498.66666666667)</f>
        <v>44498.66667</v>
      </c>
      <c r="D466" s="11">
        <f>IFERROR(__xludf.DUMMYFUNCTION("""COMPUTED_VALUE"""),331.62)</f>
        <v>331.62</v>
      </c>
      <c r="E466" s="12">
        <f>IFERROR(__xludf.DUMMYFUNCTION("""COMPUTED_VALUE"""),44498.66666666667)</f>
        <v>44498.66667</v>
      </c>
      <c r="F466" s="11">
        <f>IFERROR(__xludf.DUMMYFUNCTION("""COMPUTED_VALUE"""),371.33)</f>
        <v>371.33</v>
      </c>
      <c r="G466" s="12">
        <f>IFERROR(__xludf.DUMMYFUNCTION("""COMPUTED_VALUE"""),44498.66666666667)</f>
        <v>44498.66667</v>
      </c>
      <c r="H466" s="11">
        <f>IFERROR(__xludf.DUMMYFUNCTION("""COMPUTED_VALUE"""),149.8)</f>
        <v>149.8</v>
      </c>
    </row>
    <row r="467" ht="15.75" customHeight="1">
      <c r="A467" s="12">
        <f>IFERROR(__xludf.DUMMYFUNCTION("""COMPUTED_VALUE"""),44501.66666666667)</f>
        <v>44501.66667</v>
      </c>
      <c r="B467" s="11">
        <f>IFERROR(__xludf.DUMMYFUNCTION("""COMPUTED_VALUE"""),56.17)</f>
        <v>56.17</v>
      </c>
      <c r="C467" s="12">
        <f>IFERROR(__xludf.DUMMYFUNCTION("""COMPUTED_VALUE"""),44501.66666666667)</f>
        <v>44501.66667</v>
      </c>
      <c r="D467" s="11">
        <f>IFERROR(__xludf.DUMMYFUNCTION("""COMPUTED_VALUE"""),329.37)</f>
        <v>329.37</v>
      </c>
      <c r="E467" s="12">
        <f>IFERROR(__xludf.DUMMYFUNCTION("""COMPUTED_VALUE"""),44501.66666666667)</f>
        <v>44501.66667</v>
      </c>
      <c r="F467" s="11">
        <f>IFERROR(__xludf.DUMMYFUNCTION("""COMPUTED_VALUE"""),402.86)</f>
        <v>402.86</v>
      </c>
      <c r="G467" s="12">
        <f>IFERROR(__xludf.DUMMYFUNCTION("""COMPUTED_VALUE"""),44501.66666666667)</f>
        <v>44501.66667</v>
      </c>
      <c r="H467" s="11">
        <f>IFERROR(__xludf.DUMMYFUNCTION("""COMPUTED_VALUE"""),148.96)</f>
        <v>148.96</v>
      </c>
    </row>
    <row r="468" ht="15.75" customHeight="1">
      <c r="A468" s="12">
        <f>IFERROR(__xludf.DUMMYFUNCTION("""COMPUTED_VALUE"""),44502.66666666667)</f>
        <v>44502.66667</v>
      </c>
      <c r="B468" s="11">
        <f>IFERROR(__xludf.DUMMYFUNCTION("""COMPUTED_VALUE"""),56.1)</f>
        <v>56.1</v>
      </c>
      <c r="C468" s="12">
        <f>IFERROR(__xludf.DUMMYFUNCTION("""COMPUTED_VALUE"""),44502.66666666667)</f>
        <v>44502.66667</v>
      </c>
      <c r="D468" s="11">
        <f>IFERROR(__xludf.DUMMYFUNCTION("""COMPUTED_VALUE"""),333.13)</f>
        <v>333.13</v>
      </c>
      <c r="E468" s="12">
        <f>IFERROR(__xludf.DUMMYFUNCTION("""COMPUTED_VALUE"""),44502.66666666667)</f>
        <v>44502.66667</v>
      </c>
      <c r="F468" s="11">
        <f>IFERROR(__xludf.DUMMYFUNCTION("""COMPUTED_VALUE"""),390.67)</f>
        <v>390.67</v>
      </c>
      <c r="G468" s="12">
        <f>IFERROR(__xludf.DUMMYFUNCTION("""COMPUTED_VALUE"""),44502.66666666667)</f>
        <v>44502.66667</v>
      </c>
      <c r="H468" s="11">
        <f>IFERROR(__xludf.DUMMYFUNCTION("""COMPUTED_VALUE"""),150.02)</f>
        <v>150.02</v>
      </c>
    </row>
    <row r="469" ht="15.75" customHeight="1">
      <c r="A469" s="12">
        <f>IFERROR(__xludf.DUMMYFUNCTION("""COMPUTED_VALUE"""),44503.66666666667)</f>
        <v>44503.66667</v>
      </c>
      <c r="B469" s="11">
        <f>IFERROR(__xludf.DUMMYFUNCTION("""COMPUTED_VALUE"""),56.29)</f>
        <v>56.29</v>
      </c>
      <c r="C469" s="12">
        <f>IFERROR(__xludf.DUMMYFUNCTION("""COMPUTED_VALUE"""),44503.66666666667)</f>
        <v>44503.66667</v>
      </c>
      <c r="D469" s="11">
        <f>IFERROR(__xludf.DUMMYFUNCTION("""COMPUTED_VALUE"""),334.0)</f>
        <v>334</v>
      </c>
      <c r="E469" s="12">
        <f>IFERROR(__xludf.DUMMYFUNCTION("""COMPUTED_VALUE"""),44503.66666666667)</f>
        <v>44503.66667</v>
      </c>
      <c r="F469" s="11">
        <f>IFERROR(__xludf.DUMMYFUNCTION("""COMPUTED_VALUE"""),404.62)</f>
        <v>404.62</v>
      </c>
      <c r="G469" s="12">
        <f>IFERROR(__xludf.DUMMYFUNCTION("""COMPUTED_VALUE"""),44503.66666666667)</f>
        <v>44503.66667</v>
      </c>
      <c r="H469" s="11">
        <f>IFERROR(__xludf.DUMMYFUNCTION("""COMPUTED_VALUE"""),151.49)</f>
        <v>151.49</v>
      </c>
    </row>
    <row r="470" ht="15.75" customHeight="1">
      <c r="A470" s="12">
        <f>IFERROR(__xludf.DUMMYFUNCTION("""COMPUTED_VALUE"""),44504.66666666667)</f>
        <v>44504.66667</v>
      </c>
      <c r="B470" s="11">
        <f>IFERROR(__xludf.DUMMYFUNCTION("""COMPUTED_VALUE"""),56.6)</f>
        <v>56.6</v>
      </c>
      <c r="C470" s="12">
        <f>IFERROR(__xludf.DUMMYFUNCTION("""COMPUTED_VALUE"""),44504.66666666667)</f>
        <v>44504.66667</v>
      </c>
      <c r="D470" s="11">
        <f>IFERROR(__xludf.DUMMYFUNCTION("""COMPUTED_VALUE"""),336.44)</f>
        <v>336.44</v>
      </c>
      <c r="E470" s="12">
        <f>IFERROR(__xludf.DUMMYFUNCTION("""COMPUTED_VALUE"""),44504.66666666667)</f>
        <v>44504.66667</v>
      </c>
      <c r="F470" s="11">
        <f>IFERROR(__xludf.DUMMYFUNCTION("""COMPUTED_VALUE"""),409.97)</f>
        <v>409.97</v>
      </c>
      <c r="G470" s="12">
        <f>IFERROR(__xludf.DUMMYFUNCTION("""COMPUTED_VALUE"""),44504.66666666667)</f>
        <v>44504.66667</v>
      </c>
      <c r="H470" s="11">
        <f>IFERROR(__xludf.DUMMYFUNCTION("""COMPUTED_VALUE"""),150.96)</f>
        <v>150.96</v>
      </c>
    </row>
    <row r="471" ht="15.75" customHeight="1">
      <c r="A471" s="12">
        <f>IFERROR(__xludf.DUMMYFUNCTION("""COMPUTED_VALUE"""),44505.66666666667)</f>
        <v>44505.66667</v>
      </c>
      <c r="B471" s="11">
        <f>IFERROR(__xludf.DUMMYFUNCTION("""COMPUTED_VALUE"""),56.84)</f>
        <v>56.84</v>
      </c>
      <c r="C471" s="12">
        <f>IFERROR(__xludf.DUMMYFUNCTION("""COMPUTED_VALUE"""),44505.66666666667)</f>
        <v>44505.66667</v>
      </c>
      <c r="D471" s="11">
        <f>IFERROR(__xludf.DUMMYFUNCTION("""COMPUTED_VALUE"""),336.06)</f>
        <v>336.06</v>
      </c>
      <c r="E471" s="12">
        <f>IFERROR(__xludf.DUMMYFUNCTION("""COMPUTED_VALUE"""),44505.66666666667)</f>
        <v>44505.66667</v>
      </c>
      <c r="F471" s="11">
        <f>IFERROR(__xludf.DUMMYFUNCTION("""COMPUTED_VALUE"""),407.36)</f>
        <v>407.36</v>
      </c>
      <c r="G471" s="12">
        <f>IFERROR(__xludf.DUMMYFUNCTION("""COMPUTED_VALUE"""),44505.66666666667)</f>
        <v>44505.66667</v>
      </c>
      <c r="H471" s="11">
        <f>IFERROR(__xludf.DUMMYFUNCTION("""COMPUTED_VALUE"""),151.28)</f>
        <v>151.28</v>
      </c>
    </row>
    <row r="472" ht="15.75" customHeight="1">
      <c r="A472" s="12">
        <f>IFERROR(__xludf.DUMMYFUNCTION("""COMPUTED_VALUE"""),44508.66666666667)</f>
        <v>44508.66667</v>
      </c>
      <c r="B472" s="11">
        <f>IFERROR(__xludf.DUMMYFUNCTION("""COMPUTED_VALUE"""),56.33)</f>
        <v>56.33</v>
      </c>
      <c r="C472" s="12">
        <f>IFERROR(__xludf.DUMMYFUNCTION("""COMPUTED_VALUE"""),44508.66666666667)</f>
        <v>44508.66667</v>
      </c>
      <c r="D472" s="11">
        <f>IFERROR(__xludf.DUMMYFUNCTION("""COMPUTED_VALUE"""),336.99)</f>
        <v>336.99</v>
      </c>
      <c r="E472" s="12">
        <f>IFERROR(__xludf.DUMMYFUNCTION("""COMPUTED_VALUE"""),44508.66666666667)</f>
        <v>44508.66667</v>
      </c>
      <c r="F472" s="11">
        <f>IFERROR(__xludf.DUMMYFUNCTION("""COMPUTED_VALUE"""),387.65)</f>
        <v>387.65</v>
      </c>
      <c r="G472" s="12">
        <f>IFERROR(__xludf.DUMMYFUNCTION("""COMPUTED_VALUE"""),44508.66666666667)</f>
        <v>44508.66667</v>
      </c>
      <c r="H472" s="11">
        <f>IFERROR(__xludf.DUMMYFUNCTION("""COMPUTED_VALUE"""),150.44)</f>
        <v>150.44</v>
      </c>
    </row>
    <row r="473" ht="15.75" customHeight="1">
      <c r="A473" s="12">
        <f>IFERROR(__xludf.DUMMYFUNCTION("""COMPUTED_VALUE"""),44509.66666666667)</f>
        <v>44509.66667</v>
      </c>
      <c r="B473" s="11">
        <f>IFERROR(__xludf.DUMMYFUNCTION("""COMPUTED_VALUE"""),56.49)</f>
        <v>56.49</v>
      </c>
      <c r="C473" s="12">
        <f>IFERROR(__xludf.DUMMYFUNCTION("""COMPUTED_VALUE"""),44509.66666666667)</f>
        <v>44509.66667</v>
      </c>
      <c r="D473" s="11">
        <f>IFERROR(__xludf.DUMMYFUNCTION("""COMPUTED_VALUE"""),335.95)</f>
        <v>335.95</v>
      </c>
      <c r="E473" s="12">
        <f>IFERROR(__xludf.DUMMYFUNCTION("""COMPUTED_VALUE"""),44509.66666666667)</f>
        <v>44509.66667</v>
      </c>
      <c r="F473" s="11">
        <f>IFERROR(__xludf.DUMMYFUNCTION("""COMPUTED_VALUE"""),341.17)</f>
        <v>341.17</v>
      </c>
      <c r="G473" s="12">
        <f>IFERROR(__xludf.DUMMYFUNCTION("""COMPUTED_VALUE"""),44509.66666666667)</f>
        <v>44509.66667</v>
      </c>
      <c r="H473" s="11">
        <f>IFERROR(__xludf.DUMMYFUNCTION("""COMPUTED_VALUE"""),150.81)</f>
        <v>150.81</v>
      </c>
    </row>
    <row r="474" ht="15.75" customHeight="1">
      <c r="A474" s="12">
        <f>IFERROR(__xludf.DUMMYFUNCTION("""COMPUTED_VALUE"""),44510.66666666667)</f>
        <v>44510.66667</v>
      </c>
      <c r="B474" s="11">
        <f>IFERROR(__xludf.DUMMYFUNCTION("""COMPUTED_VALUE"""),56.72)</f>
        <v>56.72</v>
      </c>
      <c r="C474" s="12">
        <f>IFERROR(__xludf.DUMMYFUNCTION("""COMPUTED_VALUE"""),44510.66666666667)</f>
        <v>44510.66667</v>
      </c>
      <c r="D474" s="11">
        <f>IFERROR(__xludf.DUMMYFUNCTION("""COMPUTED_VALUE"""),330.8)</f>
        <v>330.8</v>
      </c>
      <c r="E474" s="12">
        <f>IFERROR(__xludf.DUMMYFUNCTION("""COMPUTED_VALUE"""),44510.66666666667)</f>
        <v>44510.66667</v>
      </c>
      <c r="F474" s="11">
        <f>IFERROR(__xludf.DUMMYFUNCTION("""COMPUTED_VALUE"""),355.98)</f>
        <v>355.98</v>
      </c>
      <c r="G474" s="12">
        <f>IFERROR(__xludf.DUMMYFUNCTION("""COMPUTED_VALUE"""),44510.66666666667)</f>
        <v>44510.66667</v>
      </c>
      <c r="H474" s="11">
        <f>IFERROR(__xludf.DUMMYFUNCTION("""COMPUTED_VALUE"""),147.92)</f>
        <v>147.92</v>
      </c>
    </row>
    <row r="475" ht="15.75" customHeight="1">
      <c r="A475" s="12">
        <f>IFERROR(__xludf.DUMMYFUNCTION("""COMPUTED_VALUE"""),44511.66666666667)</f>
        <v>44511.66667</v>
      </c>
      <c r="B475" s="11">
        <f>IFERROR(__xludf.DUMMYFUNCTION("""COMPUTED_VALUE"""),56.74)</f>
        <v>56.74</v>
      </c>
      <c r="C475" s="12">
        <f>IFERROR(__xludf.DUMMYFUNCTION("""COMPUTED_VALUE"""),44511.66666666667)</f>
        <v>44511.66667</v>
      </c>
      <c r="D475" s="11">
        <f>IFERROR(__xludf.DUMMYFUNCTION("""COMPUTED_VALUE"""),332.43)</f>
        <v>332.43</v>
      </c>
      <c r="E475" s="12">
        <f>IFERROR(__xludf.DUMMYFUNCTION("""COMPUTED_VALUE"""),44511.66666666667)</f>
        <v>44511.66667</v>
      </c>
      <c r="F475" s="11">
        <f>IFERROR(__xludf.DUMMYFUNCTION("""COMPUTED_VALUE"""),354.5)</f>
        <v>354.5</v>
      </c>
      <c r="G475" s="12">
        <f>IFERROR(__xludf.DUMMYFUNCTION("""COMPUTED_VALUE"""),44511.66666666667)</f>
        <v>44511.66667</v>
      </c>
      <c r="H475" s="11">
        <f>IFERROR(__xludf.DUMMYFUNCTION("""COMPUTED_VALUE"""),147.87)</f>
        <v>147.87</v>
      </c>
    </row>
    <row r="476" ht="15.75" customHeight="1">
      <c r="A476" s="12">
        <f>IFERROR(__xludf.DUMMYFUNCTION("""COMPUTED_VALUE"""),44512.66666666667)</f>
        <v>44512.66667</v>
      </c>
      <c r="B476" s="11">
        <f>IFERROR(__xludf.DUMMYFUNCTION("""COMPUTED_VALUE"""),56.61)</f>
        <v>56.61</v>
      </c>
      <c r="C476" s="12">
        <f>IFERROR(__xludf.DUMMYFUNCTION("""COMPUTED_VALUE"""),44512.66666666667)</f>
        <v>44512.66667</v>
      </c>
      <c r="D476" s="11">
        <f>IFERROR(__xludf.DUMMYFUNCTION("""COMPUTED_VALUE"""),336.72)</f>
        <v>336.72</v>
      </c>
      <c r="E476" s="12">
        <f>IFERROR(__xludf.DUMMYFUNCTION("""COMPUTED_VALUE"""),44512.66666666667)</f>
        <v>44512.66667</v>
      </c>
      <c r="F476" s="11">
        <f>IFERROR(__xludf.DUMMYFUNCTION("""COMPUTED_VALUE"""),344.47)</f>
        <v>344.47</v>
      </c>
      <c r="G476" s="12">
        <f>IFERROR(__xludf.DUMMYFUNCTION("""COMPUTED_VALUE"""),44512.66666666667)</f>
        <v>44512.66667</v>
      </c>
      <c r="H476" s="11">
        <f>IFERROR(__xludf.DUMMYFUNCTION("""COMPUTED_VALUE"""),149.99)</f>
        <v>149.99</v>
      </c>
    </row>
    <row r="477" ht="15.75" customHeight="1">
      <c r="A477" s="12">
        <f>IFERROR(__xludf.DUMMYFUNCTION("""COMPUTED_VALUE"""),44515.66666666667)</f>
        <v>44515.66667</v>
      </c>
      <c r="B477" s="11">
        <f>IFERROR(__xludf.DUMMYFUNCTION("""COMPUTED_VALUE"""),56.62)</f>
        <v>56.62</v>
      </c>
      <c r="C477" s="12">
        <f>IFERROR(__xludf.DUMMYFUNCTION("""COMPUTED_VALUE"""),44515.66666666667)</f>
        <v>44515.66667</v>
      </c>
      <c r="D477" s="11">
        <f>IFERROR(__xludf.DUMMYFUNCTION("""COMPUTED_VALUE"""),336.07)</f>
        <v>336.07</v>
      </c>
      <c r="E477" s="12">
        <f>IFERROR(__xludf.DUMMYFUNCTION("""COMPUTED_VALUE"""),44515.66666666667)</f>
        <v>44515.66667</v>
      </c>
      <c r="F477" s="11">
        <f>IFERROR(__xludf.DUMMYFUNCTION("""COMPUTED_VALUE"""),337.8)</f>
        <v>337.8</v>
      </c>
      <c r="G477" s="12">
        <f>IFERROR(__xludf.DUMMYFUNCTION("""COMPUTED_VALUE"""),44515.66666666667)</f>
        <v>44515.66667</v>
      </c>
      <c r="H477" s="11">
        <f>IFERROR(__xludf.DUMMYFUNCTION("""COMPUTED_VALUE"""),150.0)</f>
        <v>150</v>
      </c>
    </row>
    <row r="478" ht="15.75" customHeight="1">
      <c r="A478" s="12">
        <f>IFERROR(__xludf.DUMMYFUNCTION("""COMPUTED_VALUE"""),44516.66666666667)</f>
        <v>44516.66667</v>
      </c>
      <c r="B478" s="11">
        <f>IFERROR(__xludf.DUMMYFUNCTION("""COMPUTED_VALUE"""),56.22)</f>
        <v>56.22</v>
      </c>
      <c r="C478" s="12">
        <f>IFERROR(__xludf.DUMMYFUNCTION("""COMPUTED_VALUE"""),44516.66666666667)</f>
        <v>44516.66667</v>
      </c>
      <c r="D478" s="11">
        <f>IFERROR(__xludf.DUMMYFUNCTION("""COMPUTED_VALUE"""),339.51)</f>
        <v>339.51</v>
      </c>
      <c r="E478" s="12">
        <f>IFERROR(__xludf.DUMMYFUNCTION("""COMPUTED_VALUE"""),44516.66666666667)</f>
        <v>44516.66667</v>
      </c>
      <c r="F478" s="11">
        <f>IFERROR(__xludf.DUMMYFUNCTION("""COMPUTED_VALUE"""),351.58)</f>
        <v>351.58</v>
      </c>
      <c r="G478" s="12">
        <f>IFERROR(__xludf.DUMMYFUNCTION("""COMPUTED_VALUE"""),44516.66666666667)</f>
        <v>44516.66667</v>
      </c>
      <c r="H478" s="11">
        <f>IFERROR(__xludf.DUMMYFUNCTION("""COMPUTED_VALUE"""),151.0)</f>
        <v>151</v>
      </c>
    </row>
    <row r="479" ht="15.75" customHeight="1">
      <c r="A479" s="12">
        <f>IFERROR(__xludf.DUMMYFUNCTION("""COMPUTED_VALUE"""),44517.66666666667)</f>
        <v>44517.66667</v>
      </c>
      <c r="B479" s="11">
        <f>IFERROR(__xludf.DUMMYFUNCTION("""COMPUTED_VALUE"""),55.91)</f>
        <v>55.91</v>
      </c>
      <c r="C479" s="12">
        <f>IFERROR(__xludf.DUMMYFUNCTION("""COMPUTED_VALUE"""),44517.66666666667)</f>
        <v>44517.66667</v>
      </c>
      <c r="D479" s="11">
        <f>IFERROR(__xludf.DUMMYFUNCTION("""COMPUTED_VALUE"""),339.12)</f>
        <v>339.12</v>
      </c>
      <c r="E479" s="12">
        <f>IFERROR(__xludf.DUMMYFUNCTION("""COMPUTED_VALUE"""),44517.66666666667)</f>
        <v>44517.66667</v>
      </c>
      <c r="F479" s="11">
        <f>IFERROR(__xludf.DUMMYFUNCTION("""COMPUTED_VALUE"""),363.0)</f>
        <v>363</v>
      </c>
      <c r="G479" s="12">
        <f>IFERROR(__xludf.DUMMYFUNCTION("""COMPUTED_VALUE"""),44517.66666666667)</f>
        <v>44517.66667</v>
      </c>
      <c r="H479" s="11">
        <f>IFERROR(__xludf.DUMMYFUNCTION("""COMPUTED_VALUE"""),153.49)</f>
        <v>153.49</v>
      </c>
    </row>
    <row r="480" ht="15.75" customHeight="1">
      <c r="A480" s="12">
        <f>IFERROR(__xludf.DUMMYFUNCTION("""COMPUTED_VALUE"""),44518.66666666667)</f>
        <v>44518.66667</v>
      </c>
      <c r="B480" s="11">
        <f>IFERROR(__xludf.DUMMYFUNCTION("""COMPUTED_VALUE"""),55.41)</f>
        <v>55.41</v>
      </c>
      <c r="C480" s="12">
        <f>IFERROR(__xludf.DUMMYFUNCTION("""COMPUTED_VALUE"""),44518.66666666667)</f>
        <v>44518.66667</v>
      </c>
      <c r="D480" s="11">
        <f>IFERROR(__xludf.DUMMYFUNCTION("""COMPUTED_VALUE"""),341.27)</f>
        <v>341.27</v>
      </c>
      <c r="E480" s="12">
        <f>IFERROR(__xludf.DUMMYFUNCTION("""COMPUTED_VALUE"""),44518.66666666667)</f>
        <v>44518.66667</v>
      </c>
      <c r="F480" s="11">
        <f>IFERROR(__xludf.DUMMYFUNCTION("""COMPUTED_VALUE"""),365.46)</f>
        <v>365.46</v>
      </c>
      <c r="G480" s="12">
        <f>IFERROR(__xludf.DUMMYFUNCTION("""COMPUTED_VALUE"""),44518.66666666667)</f>
        <v>44518.66667</v>
      </c>
      <c r="H480" s="11">
        <f>IFERROR(__xludf.DUMMYFUNCTION("""COMPUTED_VALUE"""),157.87)</f>
        <v>157.87</v>
      </c>
    </row>
    <row r="481" ht="15.75" customHeight="1">
      <c r="A481" s="12">
        <f>IFERROR(__xludf.DUMMYFUNCTION("""COMPUTED_VALUE"""),44519.66666666667)</f>
        <v>44519.66667</v>
      </c>
      <c r="B481" s="11">
        <f>IFERROR(__xludf.DUMMYFUNCTION("""COMPUTED_VALUE"""),55.13)</f>
        <v>55.13</v>
      </c>
      <c r="C481" s="12">
        <f>IFERROR(__xludf.DUMMYFUNCTION("""COMPUTED_VALUE"""),44519.66666666667)</f>
        <v>44519.66667</v>
      </c>
      <c r="D481" s="11">
        <f>IFERROR(__xludf.DUMMYFUNCTION("""COMPUTED_VALUE"""),343.11)</f>
        <v>343.11</v>
      </c>
      <c r="E481" s="12">
        <f>IFERROR(__xludf.DUMMYFUNCTION("""COMPUTED_VALUE"""),44519.66666666667)</f>
        <v>44519.66667</v>
      </c>
      <c r="F481" s="11">
        <f>IFERROR(__xludf.DUMMYFUNCTION("""COMPUTED_VALUE"""),379.02)</f>
        <v>379.02</v>
      </c>
      <c r="G481" s="12">
        <f>IFERROR(__xludf.DUMMYFUNCTION("""COMPUTED_VALUE"""),44519.66666666667)</f>
        <v>44519.66667</v>
      </c>
      <c r="H481" s="11">
        <f>IFERROR(__xludf.DUMMYFUNCTION("""COMPUTED_VALUE"""),160.55)</f>
        <v>160.55</v>
      </c>
    </row>
    <row r="482" ht="15.75" customHeight="1">
      <c r="A482" s="12">
        <f>IFERROR(__xludf.DUMMYFUNCTION("""COMPUTED_VALUE"""),44522.66666666667)</f>
        <v>44522.66667</v>
      </c>
      <c r="B482" s="11">
        <f>IFERROR(__xludf.DUMMYFUNCTION("""COMPUTED_VALUE"""),55.47)</f>
        <v>55.47</v>
      </c>
      <c r="C482" s="12">
        <f>IFERROR(__xludf.DUMMYFUNCTION("""COMPUTED_VALUE"""),44522.66666666667)</f>
        <v>44522.66667</v>
      </c>
      <c r="D482" s="11">
        <f>IFERROR(__xludf.DUMMYFUNCTION("""COMPUTED_VALUE"""),339.83)</f>
        <v>339.83</v>
      </c>
      <c r="E482" s="12">
        <f>IFERROR(__xludf.DUMMYFUNCTION("""COMPUTED_VALUE"""),44522.66666666667)</f>
        <v>44522.66667</v>
      </c>
      <c r="F482" s="11">
        <f>IFERROR(__xludf.DUMMYFUNCTION("""COMPUTED_VALUE"""),385.62)</f>
        <v>385.62</v>
      </c>
      <c r="G482" s="12">
        <f>IFERROR(__xludf.DUMMYFUNCTION("""COMPUTED_VALUE"""),44522.66666666667)</f>
        <v>44522.66667</v>
      </c>
      <c r="H482" s="11">
        <f>IFERROR(__xludf.DUMMYFUNCTION("""COMPUTED_VALUE"""),161.02)</f>
        <v>161.02</v>
      </c>
    </row>
    <row r="483" ht="15.75" customHeight="1">
      <c r="A483" s="12">
        <f>IFERROR(__xludf.DUMMYFUNCTION("""COMPUTED_VALUE"""),44523.66666666667)</f>
        <v>44523.66667</v>
      </c>
      <c r="B483" s="11">
        <f>IFERROR(__xludf.DUMMYFUNCTION("""COMPUTED_VALUE"""),55.88)</f>
        <v>55.88</v>
      </c>
      <c r="C483" s="12">
        <f>IFERROR(__xludf.DUMMYFUNCTION("""COMPUTED_VALUE"""),44523.66666666667)</f>
        <v>44523.66667</v>
      </c>
      <c r="D483" s="11">
        <f>IFERROR(__xludf.DUMMYFUNCTION("""COMPUTED_VALUE"""),337.68)</f>
        <v>337.68</v>
      </c>
      <c r="E483" s="12">
        <f>IFERROR(__xludf.DUMMYFUNCTION("""COMPUTED_VALUE"""),44523.66666666667)</f>
        <v>44523.66667</v>
      </c>
      <c r="F483" s="11">
        <f>IFERROR(__xludf.DUMMYFUNCTION("""COMPUTED_VALUE"""),369.68)</f>
        <v>369.68</v>
      </c>
      <c r="G483" s="12">
        <f>IFERROR(__xludf.DUMMYFUNCTION("""COMPUTED_VALUE"""),44523.66666666667)</f>
        <v>44523.66667</v>
      </c>
      <c r="H483" s="11">
        <f>IFERROR(__xludf.DUMMYFUNCTION("""COMPUTED_VALUE"""),161.41)</f>
        <v>161.41</v>
      </c>
    </row>
    <row r="484" ht="15.75" customHeight="1">
      <c r="A484" s="12">
        <f>IFERROR(__xludf.DUMMYFUNCTION("""COMPUTED_VALUE"""),44524.66666666667)</f>
        <v>44524.66667</v>
      </c>
      <c r="B484" s="11">
        <f>IFERROR(__xludf.DUMMYFUNCTION("""COMPUTED_VALUE"""),55.43)</f>
        <v>55.43</v>
      </c>
      <c r="C484" s="12">
        <f>IFERROR(__xludf.DUMMYFUNCTION("""COMPUTED_VALUE"""),44524.66666666667)</f>
        <v>44524.66667</v>
      </c>
      <c r="D484" s="11">
        <f>IFERROR(__xludf.DUMMYFUNCTION("""COMPUTED_VALUE"""),337.91)</f>
        <v>337.91</v>
      </c>
      <c r="E484" s="12">
        <f>IFERROR(__xludf.DUMMYFUNCTION("""COMPUTED_VALUE"""),44524.66666666667)</f>
        <v>44524.66667</v>
      </c>
      <c r="F484" s="11">
        <f>IFERROR(__xludf.DUMMYFUNCTION("""COMPUTED_VALUE"""),372.0)</f>
        <v>372</v>
      </c>
      <c r="G484" s="12">
        <f>IFERROR(__xludf.DUMMYFUNCTION("""COMPUTED_VALUE"""),44524.66666666667)</f>
        <v>44524.66667</v>
      </c>
      <c r="H484" s="11">
        <f>IFERROR(__xludf.DUMMYFUNCTION("""COMPUTED_VALUE"""),161.94)</f>
        <v>161.94</v>
      </c>
    </row>
    <row r="485" ht="15.75" customHeight="1">
      <c r="A485" s="12">
        <f>IFERROR(__xludf.DUMMYFUNCTION("""COMPUTED_VALUE"""),44526.54166666667)</f>
        <v>44526.54167</v>
      </c>
      <c r="B485" s="11">
        <f>IFERROR(__xludf.DUMMYFUNCTION("""COMPUTED_VALUE"""),53.73)</f>
        <v>53.73</v>
      </c>
      <c r="C485" s="12">
        <f>IFERROR(__xludf.DUMMYFUNCTION("""COMPUTED_VALUE"""),44526.54166666667)</f>
        <v>44526.54167</v>
      </c>
      <c r="D485" s="11">
        <f>IFERROR(__xludf.DUMMYFUNCTION("""COMPUTED_VALUE"""),329.68)</f>
        <v>329.68</v>
      </c>
      <c r="E485" s="12">
        <f>IFERROR(__xludf.DUMMYFUNCTION("""COMPUTED_VALUE"""),44526.54166666667)</f>
        <v>44526.54167</v>
      </c>
      <c r="F485" s="11">
        <f>IFERROR(__xludf.DUMMYFUNCTION("""COMPUTED_VALUE"""),360.64)</f>
        <v>360.64</v>
      </c>
      <c r="G485" s="12">
        <f>IFERROR(__xludf.DUMMYFUNCTION("""COMPUTED_VALUE"""),44526.54166666667)</f>
        <v>44526.54167</v>
      </c>
      <c r="H485" s="11">
        <f>IFERROR(__xludf.DUMMYFUNCTION("""COMPUTED_VALUE"""),156.81)</f>
        <v>156.81</v>
      </c>
    </row>
    <row r="486" ht="15.75" customHeight="1">
      <c r="A486" s="12">
        <f>IFERROR(__xludf.DUMMYFUNCTION("""COMPUTED_VALUE"""),44529.66666666667)</f>
        <v>44529.66667</v>
      </c>
      <c r="B486" s="11">
        <f>IFERROR(__xludf.DUMMYFUNCTION("""COMPUTED_VALUE"""),54.58)</f>
        <v>54.58</v>
      </c>
      <c r="C486" s="12">
        <f>IFERROR(__xludf.DUMMYFUNCTION("""COMPUTED_VALUE"""),44529.66666666667)</f>
        <v>44529.66667</v>
      </c>
      <c r="D486" s="11">
        <f>IFERROR(__xludf.DUMMYFUNCTION("""COMPUTED_VALUE"""),336.63)</f>
        <v>336.63</v>
      </c>
      <c r="E486" s="12">
        <f>IFERROR(__xludf.DUMMYFUNCTION("""COMPUTED_VALUE"""),44529.66666666667)</f>
        <v>44529.66667</v>
      </c>
      <c r="F486" s="11">
        <f>IFERROR(__xludf.DUMMYFUNCTION("""COMPUTED_VALUE"""),379.0)</f>
        <v>379</v>
      </c>
      <c r="G486" s="12">
        <f>IFERROR(__xludf.DUMMYFUNCTION("""COMPUTED_VALUE"""),44529.66666666667)</f>
        <v>44529.66667</v>
      </c>
      <c r="H486" s="11">
        <f>IFERROR(__xludf.DUMMYFUNCTION("""COMPUTED_VALUE"""),160.24)</f>
        <v>160.24</v>
      </c>
    </row>
    <row r="487" ht="15.75" customHeight="1">
      <c r="A487" s="12">
        <f>IFERROR(__xludf.DUMMYFUNCTION("""COMPUTED_VALUE"""),44530.66666666667)</f>
        <v>44530.66667</v>
      </c>
      <c r="B487" s="11">
        <f>IFERROR(__xludf.DUMMYFUNCTION("""COMPUTED_VALUE"""),52.45)</f>
        <v>52.45</v>
      </c>
      <c r="C487" s="12">
        <f>IFERROR(__xludf.DUMMYFUNCTION("""COMPUTED_VALUE"""),44530.66666666667)</f>
        <v>44530.66667</v>
      </c>
      <c r="D487" s="11">
        <f>IFERROR(__xludf.DUMMYFUNCTION("""COMPUTED_VALUE"""),330.59)</f>
        <v>330.59</v>
      </c>
      <c r="E487" s="12">
        <f>IFERROR(__xludf.DUMMYFUNCTION("""COMPUTED_VALUE"""),44530.66666666667)</f>
        <v>44530.66667</v>
      </c>
      <c r="F487" s="11">
        <f>IFERROR(__xludf.DUMMYFUNCTION("""COMPUTED_VALUE"""),381.59)</f>
        <v>381.59</v>
      </c>
      <c r="G487" s="12">
        <f>IFERROR(__xludf.DUMMYFUNCTION("""COMPUTED_VALUE"""),44530.66666666667)</f>
        <v>44530.66667</v>
      </c>
      <c r="H487" s="11">
        <f>IFERROR(__xludf.DUMMYFUNCTION("""COMPUTED_VALUE"""),165.3)</f>
        <v>165.3</v>
      </c>
    </row>
    <row r="488" ht="15.75" customHeight="1">
      <c r="A488" s="12">
        <f>IFERROR(__xludf.DUMMYFUNCTION("""COMPUTED_VALUE"""),44531.66666666667)</f>
        <v>44531.66667</v>
      </c>
      <c r="B488" s="11">
        <f>IFERROR(__xludf.DUMMYFUNCTION("""COMPUTED_VALUE"""),52.3)</f>
        <v>52.3</v>
      </c>
      <c r="C488" s="12">
        <f>IFERROR(__xludf.DUMMYFUNCTION("""COMPUTED_VALUE"""),44531.66666666667)</f>
        <v>44531.66667</v>
      </c>
      <c r="D488" s="11">
        <f>IFERROR(__xludf.DUMMYFUNCTION("""COMPUTED_VALUE"""),330.08)</f>
        <v>330.08</v>
      </c>
      <c r="E488" s="12">
        <f>IFERROR(__xludf.DUMMYFUNCTION("""COMPUTED_VALUE"""),44531.66666666667)</f>
        <v>44531.66667</v>
      </c>
      <c r="F488" s="11">
        <f>IFERROR(__xludf.DUMMYFUNCTION("""COMPUTED_VALUE"""),365.0)</f>
        <v>365</v>
      </c>
      <c r="G488" s="12">
        <f>IFERROR(__xludf.DUMMYFUNCTION("""COMPUTED_VALUE"""),44531.66666666667)</f>
        <v>44531.66667</v>
      </c>
      <c r="H488" s="11">
        <f>IFERROR(__xludf.DUMMYFUNCTION("""COMPUTED_VALUE"""),164.77)</f>
        <v>164.77</v>
      </c>
    </row>
    <row r="489" ht="15.75" customHeight="1">
      <c r="A489" s="12">
        <f>IFERROR(__xludf.DUMMYFUNCTION("""COMPUTED_VALUE"""),44532.66666666667)</f>
        <v>44532.66667</v>
      </c>
      <c r="B489" s="11">
        <f>IFERROR(__xludf.DUMMYFUNCTION("""COMPUTED_VALUE"""),53.07)</f>
        <v>53.07</v>
      </c>
      <c r="C489" s="12">
        <f>IFERROR(__xludf.DUMMYFUNCTION("""COMPUTED_VALUE"""),44532.66666666667)</f>
        <v>44532.66667</v>
      </c>
      <c r="D489" s="11">
        <f>IFERROR(__xludf.DUMMYFUNCTION("""COMPUTED_VALUE"""),329.49)</f>
        <v>329.49</v>
      </c>
      <c r="E489" s="12">
        <f>IFERROR(__xludf.DUMMYFUNCTION("""COMPUTED_VALUE"""),44532.66666666667)</f>
        <v>44532.66667</v>
      </c>
      <c r="F489" s="11">
        <f>IFERROR(__xludf.DUMMYFUNCTION("""COMPUTED_VALUE"""),361.53)</f>
        <v>361.53</v>
      </c>
      <c r="G489" s="12">
        <f>IFERROR(__xludf.DUMMYFUNCTION("""COMPUTED_VALUE"""),44532.66666666667)</f>
        <v>44532.66667</v>
      </c>
      <c r="H489" s="11">
        <f>IFERROR(__xludf.DUMMYFUNCTION("""COMPUTED_VALUE"""),163.76)</f>
        <v>163.76</v>
      </c>
    </row>
    <row r="490" ht="15.75" customHeight="1">
      <c r="A490" s="12">
        <f>IFERROR(__xludf.DUMMYFUNCTION("""COMPUTED_VALUE"""),44533.66666666667)</f>
        <v>44533.66667</v>
      </c>
      <c r="B490" s="11">
        <f>IFERROR(__xludf.DUMMYFUNCTION("""COMPUTED_VALUE"""),53.54)</f>
        <v>53.54</v>
      </c>
      <c r="C490" s="12">
        <f>IFERROR(__xludf.DUMMYFUNCTION("""COMPUTED_VALUE"""),44533.66666666667)</f>
        <v>44533.66667</v>
      </c>
      <c r="D490" s="11">
        <f>IFERROR(__xludf.DUMMYFUNCTION("""COMPUTED_VALUE"""),323.01)</f>
        <v>323.01</v>
      </c>
      <c r="E490" s="12">
        <f>IFERROR(__xludf.DUMMYFUNCTION("""COMPUTED_VALUE"""),44533.66666666667)</f>
        <v>44533.66667</v>
      </c>
      <c r="F490" s="11">
        <f>IFERROR(__xludf.DUMMYFUNCTION("""COMPUTED_VALUE"""),338.32)</f>
        <v>338.32</v>
      </c>
      <c r="G490" s="12">
        <f>IFERROR(__xludf.DUMMYFUNCTION("""COMPUTED_VALUE"""),44533.66666666667)</f>
        <v>44533.66667</v>
      </c>
      <c r="H490" s="11">
        <f>IFERROR(__xludf.DUMMYFUNCTION("""COMPUTED_VALUE"""),161.84)</f>
        <v>161.84</v>
      </c>
    </row>
    <row r="491" ht="15.75" customHeight="1">
      <c r="A491" s="12">
        <f>IFERROR(__xludf.DUMMYFUNCTION("""COMPUTED_VALUE"""),44536.66666666667)</f>
        <v>44536.66667</v>
      </c>
      <c r="B491" s="11">
        <f>IFERROR(__xludf.DUMMYFUNCTION("""COMPUTED_VALUE"""),54.91)</f>
        <v>54.91</v>
      </c>
      <c r="C491" s="12">
        <f>IFERROR(__xludf.DUMMYFUNCTION("""COMPUTED_VALUE"""),44536.66666666667)</f>
        <v>44536.66667</v>
      </c>
      <c r="D491" s="11">
        <f>IFERROR(__xludf.DUMMYFUNCTION("""COMPUTED_VALUE"""),326.19)</f>
        <v>326.19</v>
      </c>
      <c r="E491" s="12">
        <f>IFERROR(__xludf.DUMMYFUNCTION("""COMPUTED_VALUE"""),44536.66666666667)</f>
        <v>44536.66667</v>
      </c>
      <c r="F491" s="11">
        <f>IFERROR(__xludf.DUMMYFUNCTION("""COMPUTED_VALUE"""),336.34)</f>
        <v>336.34</v>
      </c>
      <c r="G491" s="12">
        <f>IFERROR(__xludf.DUMMYFUNCTION("""COMPUTED_VALUE"""),44536.66666666667)</f>
        <v>44536.66667</v>
      </c>
      <c r="H491" s="11">
        <f>IFERROR(__xludf.DUMMYFUNCTION("""COMPUTED_VALUE"""),165.32)</f>
        <v>165.32</v>
      </c>
    </row>
    <row r="492" ht="15.75" customHeight="1">
      <c r="A492" s="12">
        <f>IFERROR(__xludf.DUMMYFUNCTION("""COMPUTED_VALUE"""),44537.66666666667)</f>
        <v>44537.66667</v>
      </c>
      <c r="B492" s="11">
        <f>IFERROR(__xludf.DUMMYFUNCTION("""COMPUTED_VALUE"""),55.21)</f>
        <v>55.21</v>
      </c>
      <c r="C492" s="12">
        <f>IFERROR(__xludf.DUMMYFUNCTION("""COMPUTED_VALUE"""),44537.66666666667)</f>
        <v>44537.66667</v>
      </c>
      <c r="D492" s="11">
        <f>IFERROR(__xludf.DUMMYFUNCTION("""COMPUTED_VALUE"""),334.92)</f>
        <v>334.92</v>
      </c>
      <c r="E492" s="12">
        <f>IFERROR(__xludf.DUMMYFUNCTION("""COMPUTED_VALUE"""),44537.66666666667)</f>
        <v>44537.66667</v>
      </c>
      <c r="F492" s="11">
        <f>IFERROR(__xludf.DUMMYFUNCTION("""COMPUTED_VALUE"""),350.58)</f>
        <v>350.58</v>
      </c>
      <c r="G492" s="12">
        <f>IFERROR(__xludf.DUMMYFUNCTION("""COMPUTED_VALUE"""),44537.66666666667)</f>
        <v>44537.66667</v>
      </c>
      <c r="H492" s="11">
        <f>IFERROR(__xludf.DUMMYFUNCTION("""COMPUTED_VALUE"""),171.18)</f>
        <v>171.18</v>
      </c>
    </row>
    <row r="493" ht="15.75" customHeight="1">
      <c r="A493" s="12">
        <f>IFERROR(__xludf.DUMMYFUNCTION("""COMPUTED_VALUE"""),44538.66666666667)</f>
        <v>44538.66667</v>
      </c>
      <c r="B493" s="11">
        <f>IFERROR(__xludf.DUMMYFUNCTION("""COMPUTED_VALUE"""),55.0)</f>
        <v>55</v>
      </c>
      <c r="C493" s="12">
        <f>IFERROR(__xludf.DUMMYFUNCTION("""COMPUTED_VALUE"""),44538.66666666667)</f>
        <v>44538.66667</v>
      </c>
      <c r="D493" s="11">
        <f>IFERROR(__xludf.DUMMYFUNCTION("""COMPUTED_VALUE"""),334.97)</f>
        <v>334.97</v>
      </c>
      <c r="E493" s="12">
        <f>IFERROR(__xludf.DUMMYFUNCTION("""COMPUTED_VALUE"""),44538.66666666667)</f>
        <v>44538.66667</v>
      </c>
      <c r="F493" s="11">
        <f>IFERROR(__xludf.DUMMYFUNCTION("""COMPUTED_VALUE"""),356.32)</f>
        <v>356.32</v>
      </c>
      <c r="G493" s="12">
        <f>IFERROR(__xludf.DUMMYFUNCTION("""COMPUTED_VALUE"""),44538.66666666667)</f>
        <v>44538.66667</v>
      </c>
      <c r="H493" s="11">
        <f>IFERROR(__xludf.DUMMYFUNCTION("""COMPUTED_VALUE"""),175.08)</f>
        <v>175.08</v>
      </c>
    </row>
    <row r="494" ht="15.75" customHeight="1">
      <c r="A494" s="12">
        <f>IFERROR(__xludf.DUMMYFUNCTION("""COMPUTED_VALUE"""),44539.66666666667)</f>
        <v>44539.66667</v>
      </c>
      <c r="B494" s="11">
        <f>IFERROR(__xludf.DUMMYFUNCTION("""COMPUTED_VALUE"""),54.86)</f>
        <v>54.86</v>
      </c>
      <c r="C494" s="12">
        <f>IFERROR(__xludf.DUMMYFUNCTION("""COMPUTED_VALUE"""),44539.66666666667)</f>
        <v>44539.66667</v>
      </c>
      <c r="D494" s="11">
        <f>IFERROR(__xludf.DUMMYFUNCTION("""COMPUTED_VALUE"""),333.1)</f>
        <v>333.1</v>
      </c>
      <c r="E494" s="12">
        <f>IFERROR(__xludf.DUMMYFUNCTION("""COMPUTED_VALUE"""),44539.66666666667)</f>
        <v>44539.66667</v>
      </c>
      <c r="F494" s="11">
        <f>IFERROR(__xludf.DUMMYFUNCTION("""COMPUTED_VALUE"""),334.6)</f>
        <v>334.6</v>
      </c>
      <c r="G494" s="12">
        <f>IFERROR(__xludf.DUMMYFUNCTION("""COMPUTED_VALUE"""),44539.66666666667)</f>
        <v>44539.66667</v>
      </c>
      <c r="H494" s="11">
        <f>IFERROR(__xludf.DUMMYFUNCTION("""COMPUTED_VALUE"""),174.56)</f>
        <v>174.56</v>
      </c>
    </row>
    <row r="495" ht="15.75" customHeight="1">
      <c r="A495" s="12">
        <f>IFERROR(__xludf.DUMMYFUNCTION("""COMPUTED_VALUE"""),44540.66666666667)</f>
        <v>44540.66667</v>
      </c>
      <c r="B495" s="11">
        <f>IFERROR(__xludf.DUMMYFUNCTION("""COMPUTED_VALUE"""),56.28)</f>
        <v>56.28</v>
      </c>
      <c r="C495" s="12">
        <f>IFERROR(__xludf.DUMMYFUNCTION("""COMPUTED_VALUE"""),44540.66666666667)</f>
        <v>44540.66667</v>
      </c>
      <c r="D495" s="11">
        <f>IFERROR(__xludf.DUMMYFUNCTION("""COMPUTED_VALUE"""),342.54)</f>
        <v>342.54</v>
      </c>
      <c r="E495" s="12">
        <f>IFERROR(__xludf.DUMMYFUNCTION("""COMPUTED_VALUE"""),44540.66666666667)</f>
        <v>44540.66667</v>
      </c>
      <c r="F495" s="11">
        <f>IFERROR(__xludf.DUMMYFUNCTION("""COMPUTED_VALUE"""),339.01)</f>
        <v>339.01</v>
      </c>
      <c r="G495" s="12">
        <f>IFERROR(__xludf.DUMMYFUNCTION("""COMPUTED_VALUE"""),44540.66666666667)</f>
        <v>44540.66667</v>
      </c>
      <c r="H495" s="11">
        <f>IFERROR(__xludf.DUMMYFUNCTION("""COMPUTED_VALUE"""),179.45)</f>
        <v>179.45</v>
      </c>
    </row>
    <row r="496" ht="15.75" customHeight="1">
      <c r="A496" s="12">
        <f>IFERROR(__xludf.DUMMYFUNCTION("""COMPUTED_VALUE"""),44543.66666666667)</f>
        <v>44543.66667</v>
      </c>
      <c r="B496" s="11">
        <f>IFERROR(__xludf.DUMMYFUNCTION("""COMPUTED_VALUE"""),57.76)</f>
        <v>57.76</v>
      </c>
      <c r="C496" s="12">
        <f>IFERROR(__xludf.DUMMYFUNCTION("""COMPUTED_VALUE"""),44543.66666666667)</f>
        <v>44543.66667</v>
      </c>
      <c r="D496" s="11">
        <f>IFERROR(__xludf.DUMMYFUNCTION("""COMPUTED_VALUE"""),339.4)</f>
        <v>339.4</v>
      </c>
      <c r="E496" s="12">
        <f>IFERROR(__xludf.DUMMYFUNCTION("""COMPUTED_VALUE"""),44543.66666666667)</f>
        <v>44543.66667</v>
      </c>
      <c r="F496" s="11">
        <f>IFERROR(__xludf.DUMMYFUNCTION("""COMPUTED_VALUE"""),322.14)</f>
        <v>322.14</v>
      </c>
      <c r="G496" s="12">
        <f>IFERROR(__xludf.DUMMYFUNCTION("""COMPUTED_VALUE"""),44543.66666666667)</f>
        <v>44543.66667</v>
      </c>
      <c r="H496" s="11">
        <f>IFERROR(__xludf.DUMMYFUNCTION("""COMPUTED_VALUE"""),175.74)</f>
        <v>175.74</v>
      </c>
    </row>
    <row r="497" ht="15.75" customHeight="1">
      <c r="A497" s="12">
        <f>IFERROR(__xludf.DUMMYFUNCTION("""COMPUTED_VALUE"""),44544.66666666667)</f>
        <v>44544.66667</v>
      </c>
      <c r="B497" s="11">
        <f>IFERROR(__xludf.DUMMYFUNCTION("""COMPUTED_VALUE"""),57.8)</f>
        <v>57.8</v>
      </c>
      <c r="C497" s="12">
        <f>IFERROR(__xludf.DUMMYFUNCTION("""COMPUTED_VALUE"""),44544.66666666667)</f>
        <v>44544.66667</v>
      </c>
      <c r="D497" s="11">
        <f>IFERROR(__xludf.DUMMYFUNCTION("""COMPUTED_VALUE"""),328.34)</f>
        <v>328.34</v>
      </c>
      <c r="E497" s="12">
        <f>IFERROR(__xludf.DUMMYFUNCTION("""COMPUTED_VALUE"""),44544.66666666667)</f>
        <v>44544.66667</v>
      </c>
      <c r="F497" s="11">
        <f>IFERROR(__xludf.DUMMYFUNCTION("""COMPUTED_VALUE"""),319.5)</f>
        <v>319.5</v>
      </c>
      <c r="G497" s="12">
        <f>IFERROR(__xludf.DUMMYFUNCTION("""COMPUTED_VALUE"""),44544.66666666667)</f>
        <v>44544.66667</v>
      </c>
      <c r="H497" s="11">
        <f>IFERROR(__xludf.DUMMYFUNCTION("""COMPUTED_VALUE"""),174.33)</f>
        <v>174.33</v>
      </c>
    </row>
    <row r="498" ht="15.75" customHeight="1">
      <c r="A498" s="12">
        <f>IFERROR(__xludf.DUMMYFUNCTION("""COMPUTED_VALUE"""),44545.66666666667)</f>
        <v>44545.66667</v>
      </c>
      <c r="B498" s="11">
        <f>IFERROR(__xludf.DUMMYFUNCTION("""COMPUTED_VALUE"""),58.06)</f>
        <v>58.06</v>
      </c>
      <c r="C498" s="12">
        <f>IFERROR(__xludf.DUMMYFUNCTION("""COMPUTED_VALUE"""),44545.66666666667)</f>
        <v>44545.66667</v>
      </c>
      <c r="D498" s="11">
        <f>IFERROR(__xludf.DUMMYFUNCTION("""COMPUTED_VALUE"""),334.65)</f>
        <v>334.65</v>
      </c>
      <c r="E498" s="12">
        <f>IFERROR(__xludf.DUMMYFUNCTION("""COMPUTED_VALUE"""),44545.66666666667)</f>
        <v>44545.66667</v>
      </c>
      <c r="F498" s="11">
        <f>IFERROR(__xludf.DUMMYFUNCTION("""COMPUTED_VALUE"""),325.33)</f>
        <v>325.33</v>
      </c>
      <c r="G498" s="12">
        <f>IFERROR(__xludf.DUMMYFUNCTION("""COMPUTED_VALUE"""),44545.66666666667)</f>
        <v>44545.66667</v>
      </c>
      <c r="H498" s="11">
        <f>IFERROR(__xludf.DUMMYFUNCTION("""COMPUTED_VALUE"""),179.3)</f>
        <v>179.3</v>
      </c>
    </row>
    <row r="499" ht="15.75" customHeight="1">
      <c r="A499" s="12">
        <f>IFERROR(__xludf.DUMMYFUNCTION("""COMPUTED_VALUE"""),44546.66666666667)</f>
        <v>44546.66667</v>
      </c>
      <c r="B499" s="11">
        <f>IFERROR(__xludf.DUMMYFUNCTION("""COMPUTED_VALUE"""),58.65)</f>
        <v>58.65</v>
      </c>
      <c r="C499" s="12">
        <f>IFERROR(__xludf.DUMMYFUNCTION("""COMPUTED_VALUE"""),44546.66666666667)</f>
        <v>44546.66667</v>
      </c>
      <c r="D499" s="11">
        <f>IFERROR(__xludf.DUMMYFUNCTION("""COMPUTED_VALUE"""),324.9)</f>
        <v>324.9</v>
      </c>
      <c r="E499" s="12">
        <f>IFERROR(__xludf.DUMMYFUNCTION("""COMPUTED_VALUE"""),44546.66666666667)</f>
        <v>44546.66667</v>
      </c>
      <c r="F499" s="11">
        <f>IFERROR(__xludf.DUMMYFUNCTION("""COMPUTED_VALUE"""),308.97)</f>
        <v>308.97</v>
      </c>
      <c r="G499" s="12">
        <f>IFERROR(__xludf.DUMMYFUNCTION("""COMPUTED_VALUE"""),44546.66666666667)</f>
        <v>44546.66667</v>
      </c>
      <c r="H499" s="11">
        <f>IFERROR(__xludf.DUMMYFUNCTION("""COMPUTED_VALUE"""),172.26)</f>
        <v>172.26</v>
      </c>
    </row>
    <row r="500" ht="15.75" customHeight="1">
      <c r="A500" s="12">
        <f>IFERROR(__xludf.DUMMYFUNCTION("""COMPUTED_VALUE"""),44547.66666666667)</f>
        <v>44547.66667</v>
      </c>
      <c r="B500" s="11">
        <f>IFERROR(__xludf.DUMMYFUNCTION("""COMPUTED_VALUE"""),57.73)</f>
        <v>57.73</v>
      </c>
      <c r="C500" s="12">
        <f>IFERROR(__xludf.DUMMYFUNCTION("""COMPUTED_VALUE"""),44547.66666666667)</f>
        <v>44547.66667</v>
      </c>
      <c r="D500" s="11">
        <f>IFERROR(__xludf.DUMMYFUNCTION("""COMPUTED_VALUE"""),323.8)</f>
        <v>323.8</v>
      </c>
      <c r="E500" s="12">
        <f>IFERROR(__xludf.DUMMYFUNCTION("""COMPUTED_VALUE"""),44547.66666666667)</f>
        <v>44547.66667</v>
      </c>
      <c r="F500" s="11">
        <f>IFERROR(__xludf.DUMMYFUNCTION("""COMPUTED_VALUE"""),310.86)</f>
        <v>310.86</v>
      </c>
      <c r="G500" s="12">
        <f>IFERROR(__xludf.DUMMYFUNCTION("""COMPUTED_VALUE"""),44547.66666666667)</f>
        <v>44547.66667</v>
      </c>
      <c r="H500" s="11">
        <f>IFERROR(__xludf.DUMMYFUNCTION("""COMPUTED_VALUE"""),171.14)</f>
        <v>171.14</v>
      </c>
    </row>
    <row r="501" ht="15.75" customHeight="1">
      <c r="A501" s="12">
        <f>IFERROR(__xludf.DUMMYFUNCTION("""COMPUTED_VALUE"""),44550.66666666667)</f>
        <v>44550.66667</v>
      </c>
      <c r="B501" s="11">
        <f>IFERROR(__xludf.DUMMYFUNCTION("""COMPUTED_VALUE"""),57.54)</f>
        <v>57.54</v>
      </c>
      <c r="C501" s="12">
        <f>IFERROR(__xludf.DUMMYFUNCTION("""COMPUTED_VALUE"""),44550.66666666667)</f>
        <v>44550.66667</v>
      </c>
      <c r="D501" s="11">
        <f>IFERROR(__xludf.DUMMYFUNCTION("""COMPUTED_VALUE"""),319.91)</f>
        <v>319.91</v>
      </c>
      <c r="E501" s="12">
        <f>IFERROR(__xludf.DUMMYFUNCTION("""COMPUTED_VALUE"""),44550.66666666667)</f>
        <v>44550.66667</v>
      </c>
      <c r="F501" s="11">
        <f>IFERROR(__xludf.DUMMYFUNCTION("""COMPUTED_VALUE"""),299.98)</f>
        <v>299.98</v>
      </c>
      <c r="G501" s="12">
        <f>IFERROR(__xludf.DUMMYFUNCTION("""COMPUTED_VALUE"""),44550.66666666667)</f>
        <v>44550.66667</v>
      </c>
      <c r="H501" s="11">
        <f>IFERROR(__xludf.DUMMYFUNCTION("""COMPUTED_VALUE"""),169.75)</f>
        <v>169.75</v>
      </c>
    </row>
    <row r="502" ht="15.75" customHeight="1">
      <c r="A502" s="12">
        <f>IFERROR(__xludf.DUMMYFUNCTION("""COMPUTED_VALUE"""),44551.66666666667)</f>
        <v>44551.66667</v>
      </c>
      <c r="B502" s="11">
        <f>IFERROR(__xludf.DUMMYFUNCTION("""COMPUTED_VALUE"""),57.77)</f>
        <v>57.77</v>
      </c>
      <c r="C502" s="12">
        <f>IFERROR(__xludf.DUMMYFUNCTION("""COMPUTED_VALUE"""),44551.66666666667)</f>
        <v>44551.66667</v>
      </c>
      <c r="D502" s="11">
        <f>IFERROR(__xludf.DUMMYFUNCTION("""COMPUTED_VALUE"""),327.29)</f>
        <v>327.29</v>
      </c>
      <c r="E502" s="12">
        <f>IFERROR(__xludf.DUMMYFUNCTION("""COMPUTED_VALUE"""),44551.66666666667)</f>
        <v>44551.66667</v>
      </c>
      <c r="F502" s="11">
        <f>IFERROR(__xludf.DUMMYFUNCTION("""COMPUTED_VALUE"""),312.84)</f>
        <v>312.84</v>
      </c>
      <c r="G502" s="12">
        <f>IFERROR(__xludf.DUMMYFUNCTION("""COMPUTED_VALUE"""),44551.66666666667)</f>
        <v>44551.66667</v>
      </c>
      <c r="H502" s="11">
        <f>IFERROR(__xludf.DUMMYFUNCTION("""COMPUTED_VALUE"""),172.99)</f>
        <v>172.99</v>
      </c>
    </row>
    <row r="503" ht="15.75" customHeight="1">
      <c r="A503" s="12">
        <f>IFERROR(__xludf.DUMMYFUNCTION("""COMPUTED_VALUE"""),44552.66666666667)</f>
        <v>44552.66667</v>
      </c>
      <c r="B503" s="11">
        <f>IFERROR(__xludf.DUMMYFUNCTION("""COMPUTED_VALUE"""),58.18)</f>
        <v>58.18</v>
      </c>
      <c r="C503" s="12">
        <f>IFERROR(__xludf.DUMMYFUNCTION("""COMPUTED_VALUE"""),44552.66666666667)</f>
        <v>44552.66667</v>
      </c>
      <c r="D503" s="11">
        <f>IFERROR(__xludf.DUMMYFUNCTION("""COMPUTED_VALUE"""),333.2)</f>
        <v>333.2</v>
      </c>
      <c r="E503" s="12">
        <f>IFERROR(__xludf.DUMMYFUNCTION("""COMPUTED_VALUE"""),44552.66666666667)</f>
        <v>44552.66667</v>
      </c>
      <c r="F503" s="11">
        <f>IFERROR(__xludf.DUMMYFUNCTION("""COMPUTED_VALUE"""),336.29)</f>
        <v>336.29</v>
      </c>
      <c r="G503" s="12">
        <f>IFERROR(__xludf.DUMMYFUNCTION("""COMPUTED_VALUE"""),44552.66666666667)</f>
        <v>44552.66667</v>
      </c>
      <c r="H503" s="11">
        <f>IFERROR(__xludf.DUMMYFUNCTION("""COMPUTED_VALUE"""),175.64)</f>
        <v>175.64</v>
      </c>
    </row>
    <row r="504" ht="15.75" customHeight="1">
      <c r="A504" s="12">
        <f>IFERROR(__xludf.DUMMYFUNCTION("""COMPUTED_VALUE"""),44553.66666666667)</f>
        <v>44553.66667</v>
      </c>
      <c r="B504" s="11">
        <f>IFERROR(__xludf.DUMMYFUNCTION("""COMPUTED_VALUE"""),58.22)</f>
        <v>58.22</v>
      </c>
      <c r="C504" s="12">
        <f>IFERROR(__xludf.DUMMYFUNCTION("""COMPUTED_VALUE"""),44553.66666666667)</f>
        <v>44553.66667</v>
      </c>
      <c r="D504" s="11">
        <f>IFERROR(__xludf.DUMMYFUNCTION("""COMPUTED_VALUE"""),334.69)</f>
        <v>334.69</v>
      </c>
      <c r="E504" s="12">
        <f>IFERROR(__xludf.DUMMYFUNCTION("""COMPUTED_VALUE"""),44553.66666666667)</f>
        <v>44553.66667</v>
      </c>
      <c r="F504" s="11">
        <f>IFERROR(__xludf.DUMMYFUNCTION("""COMPUTED_VALUE"""),355.67)</f>
        <v>355.67</v>
      </c>
      <c r="G504" s="12">
        <f>IFERROR(__xludf.DUMMYFUNCTION("""COMPUTED_VALUE"""),44553.66666666667)</f>
        <v>44553.66667</v>
      </c>
      <c r="H504" s="11">
        <f>IFERROR(__xludf.DUMMYFUNCTION("""COMPUTED_VALUE"""),176.28)</f>
        <v>176.28</v>
      </c>
    </row>
    <row r="505" ht="15.75" customHeight="1">
      <c r="A505" s="12">
        <f>IFERROR(__xludf.DUMMYFUNCTION("""COMPUTED_VALUE"""),44557.66666666667)</f>
        <v>44557.66667</v>
      </c>
      <c r="B505" s="11">
        <f>IFERROR(__xludf.DUMMYFUNCTION("""COMPUTED_VALUE"""),58.65)</f>
        <v>58.65</v>
      </c>
      <c r="C505" s="12">
        <f>IFERROR(__xludf.DUMMYFUNCTION("""COMPUTED_VALUE"""),44557.66666666667)</f>
        <v>44557.66667</v>
      </c>
      <c r="D505" s="11">
        <f>IFERROR(__xludf.DUMMYFUNCTION("""COMPUTED_VALUE"""),342.45)</f>
        <v>342.45</v>
      </c>
      <c r="E505" s="12">
        <f>IFERROR(__xludf.DUMMYFUNCTION("""COMPUTED_VALUE"""),44557.66666666667)</f>
        <v>44557.66667</v>
      </c>
      <c r="F505" s="11">
        <f>IFERROR(__xludf.DUMMYFUNCTION("""COMPUTED_VALUE"""),364.65)</f>
        <v>364.65</v>
      </c>
      <c r="G505" s="12">
        <f>IFERROR(__xludf.DUMMYFUNCTION("""COMPUTED_VALUE"""),44557.66666666667)</f>
        <v>44557.66667</v>
      </c>
      <c r="H505" s="11">
        <f>IFERROR(__xludf.DUMMYFUNCTION("""COMPUTED_VALUE"""),180.33)</f>
        <v>180.33</v>
      </c>
    </row>
    <row r="506" ht="15.75" customHeight="1">
      <c r="A506" s="12">
        <f>IFERROR(__xludf.DUMMYFUNCTION("""COMPUTED_VALUE"""),44558.66666666667)</f>
        <v>44558.66667</v>
      </c>
      <c r="B506" s="11">
        <f>IFERROR(__xludf.DUMMYFUNCTION("""COMPUTED_VALUE"""),58.88)</f>
        <v>58.88</v>
      </c>
      <c r="C506" s="12">
        <f>IFERROR(__xludf.DUMMYFUNCTION("""COMPUTED_VALUE"""),44558.66666666667)</f>
        <v>44558.66667</v>
      </c>
      <c r="D506" s="11">
        <f>IFERROR(__xludf.DUMMYFUNCTION("""COMPUTED_VALUE"""),341.25)</f>
        <v>341.25</v>
      </c>
      <c r="E506" s="12">
        <f>IFERROR(__xludf.DUMMYFUNCTION("""COMPUTED_VALUE"""),44558.66666666667)</f>
        <v>44558.66667</v>
      </c>
      <c r="F506" s="11">
        <f>IFERROR(__xludf.DUMMYFUNCTION("""COMPUTED_VALUE"""),362.82)</f>
        <v>362.82</v>
      </c>
      <c r="G506" s="12">
        <f>IFERROR(__xludf.DUMMYFUNCTION("""COMPUTED_VALUE"""),44558.66666666667)</f>
        <v>44558.66667</v>
      </c>
      <c r="H506" s="11">
        <f>IFERROR(__xludf.DUMMYFUNCTION("""COMPUTED_VALUE"""),179.29)</f>
        <v>179.29</v>
      </c>
    </row>
    <row r="507" ht="15.75" customHeight="1">
      <c r="A507" s="12">
        <f>IFERROR(__xludf.DUMMYFUNCTION("""COMPUTED_VALUE"""),44559.66666666667)</f>
        <v>44559.66667</v>
      </c>
      <c r="B507" s="11">
        <f>IFERROR(__xludf.DUMMYFUNCTION("""COMPUTED_VALUE"""),58.95)</f>
        <v>58.95</v>
      </c>
      <c r="C507" s="12">
        <f>IFERROR(__xludf.DUMMYFUNCTION("""COMPUTED_VALUE"""),44559.66666666667)</f>
        <v>44559.66667</v>
      </c>
      <c r="D507" s="11">
        <f>IFERROR(__xludf.DUMMYFUNCTION("""COMPUTED_VALUE"""),341.95)</f>
        <v>341.95</v>
      </c>
      <c r="E507" s="12">
        <f>IFERROR(__xludf.DUMMYFUNCTION("""COMPUTED_VALUE"""),44559.66666666667)</f>
        <v>44559.66667</v>
      </c>
      <c r="F507" s="11">
        <f>IFERROR(__xludf.DUMMYFUNCTION("""COMPUTED_VALUE"""),362.06)</f>
        <v>362.06</v>
      </c>
      <c r="G507" s="12">
        <f>IFERROR(__xludf.DUMMYFUNCTION("""COMPUTED_VALUE"""),44559.66666666667)</f>
        <v>44559.66667</v>
      </c>
      <c r="H507" s="11">
        <f>IFERROR(__xludf.DUMMYFUNCTION("""COMPUTED_VALUE"""),179.38)</f>
        <v>179.38</v>
      </c>
    </row>
    <row r="508" ht="15.75" customHeight="1">
      <c r="A508" s="12">
        <f>IFERROR(__xludf.DUMMYFUNCTION("""COMPUTED_VALUE"""),44560.66666666667)</f>
        <v>44560.66667</v>
      </c>
      <c r="B508" s="11">
        <f>IFERROR(__xludf.DUMMYFUNCTION("""COMPUTED_VALUE"""),58.78)</f>
        <v>58.78</v>
      </c>
      <c r="C508" s="12">
        <f>IFERROR(__xludf.DUMMYFUNCTION("""COMPUTED_VALUE"""),44560.66666666667)</f>
        <v>44560.66667</v>
      </c>
      <c r="D508" s="11">
        <f>IFERROR(__xludf.DUMMYFUNCTION("""COMPUTED_VALUE"""),339.32)</f>
        <v>339.32</v>
      </c>
      <c r="E508" s="12">
        <f>IFERROR(__xludf.DUMMYFUNCTION("""COMPUTED_VALUE"""),44560.66666666667)</f>
        <v>44560.66667</v>
      </c>
      <c r="F508" s="11">
        <f>IFERROR(__xludf.DUMMYFUNCTION("""COMPUTED_VALUE"""),356.78)</f>
        <v>356.78</v>
      </c>
      <c r="G508" s="12">
        <f>IFERROR(__xludf.DUMMYFUNCTION("""COMPUTED_VALUE"""),44560.66666666667)</f>
        <v>44560.66667</v>
      </c>
      <c r="H508" s="11">
        <f>IFERROR(__xludf.DUMMYFUNCTION("""COMPUTED_VALUE"""),178.2)</f>
        <v>178.2</v>
      </c>
    </row>
    <row r="509" ht="15.75" customHeight="1">
      <c r="A509" s="12">
        <f>IFERROR(__xludf.DUMMYFUNCTION("""COMPUTED_VALUE"""),44561.66666666667)</f>
        <v>44561.66667</v>
      </c>
      <c r="B509" s="11">
        <f>IFERROR(__xludf.DUMMYFUNCTION("""COMPUTED_VALUE"""),59.21)</f>
        <v>59.21</v>
      </c>
      <c r="C509" s="12">
        <f>IFERROR(__xludf.DUMMYFUNCTION("""COMPUTED_VALUE"""),44561.66666666667)</f>
        <v>44561.66667</v>
      </c>
      <c r="D509" s="11">
        <f>IFERROR(__xludf.DUMMYFUNCTION("""COMPUTED_VALUE"""),336.32)</f>
        <v>336.32</v>
      </c>
      <c r="E509" s="12">
        <f>IFERROR(__xludf.DUMMYFUNCTION("""COMPUTED_VALUE"""),44561.66666666667)</f>
        <v>44561.66667</v>
      </c>
      <c r="F509" s="11">
        <f>IFERROR(__xludf.DUMMYFUNCTION("""COMPUTED_VALUE"""),352.26)</f>
        <v>352.26</v>
      </c>
      <c r="G509" s="12">
        <f>IFERROR(__xludf.DUMMYFUNCTION("""COMPUTED_VALUE"""),44561.66666666667)</f>
        <v>44561.66667</v>
      </c>
      <c r="H509" s="11">
        <f>IFERROR(__xludf.DUMMYFUNCTION("""COMPUTED_VALUE"""),177.57)</f>
        <v>177.57</v>
      </c>
    </row>
    <row r="510" ht="15.75" customHeight="1">
      <c r="A510" s="12">
        <f>IFERROR(__xludf.DUMMYFUNCTION("""COMPUTED_VALUE"""),44564.66666666667)</f>
        <v>44564.66667</v>
      </c>
      <c r="B510" s="11">
        <f>IFERROR(__xludf.DUMMYFUNCTION("""COMPUTED_VALUE"""),59.3)</f>
        <v>59.3</v>
      </c>
      <c r="C510" s="12">
        <f>IFERROR(__xludf.DUMMYFUNCTION("""COMPUTED_VALUE"""),44564.66666666667)</f>
        <v>44564.66667</v>
      </c>
      <c r="D510" s="11">
        <f>IFERROR(__xludf.DUMMYFUNCTION("""COMPUTED_VALUE"""),334.75)</f>
        <v>334.75</v>
      </c>
      <c r="E510" s="12">
        <f>IFERROR(__xludf.DUMMYFUNCTION("""COMPUTED_VALUE"""),44564.66666666667)</f>
        <v>44564.66667</v>
      </c>
      <c r="F510" s="11">
        <f>IFERROR(__xludf.DUMMYFUNCTION("""COMPUTED_VALUE"""),399.93)</f>
        <v>399.93</v>
      </c>
      <c r="G510" s="12">
        <f>IFERROR(__xludf.DUMMYFUNCTION("""COMPUTED_VALUE"""),44564.66666666667)</f>
        <v>44564.66667</v>
      </c>
      <c r="H510" s="11">
        <f>IFERROR(__xludf.DUMMYFUNCTION("""COMPUTED_VALUE"""),182.01)</f>
        <v>182.01</v>
      </c>
    </row>
    <row r="511" ht="15.75" customHeight="1">
      <c r="A511" s="12">
        <f>IFERROR(__xludf.DUMMYFUNCTION("""COMPUTED_VALUE"""),44565.66666666667)</f>
        <v>44565.66667</v>
      </c>
      <c r="B511" s="11">
        <f>IFERROR(__xludf.DUMMYFUNCTION("""COMPUTED_VALUE"""),60.29)</f>
        <v>60.29</v>
      </c>
      <c r="C511" s="12">
        <f>IFERROR(__xludf.DUMMYFUNCTION("""COMPUTED_VALUE"""),44565.66666666667)</f>
        <v>44565.66667</v>
      </c>
      <c r="D511" s="11">
        <f>IFERROR(__xludf.DUMMYFUNCTION("""COMPUTED_VALUE"""),329.01)</f>
        <v>329.01</v>
      </c>
      <c r="E511" s="12">
        <f>IFERROR(__xludf.DUMMYFUNCTION("""COMPUTED_VALUE"""),44565.66666666667)</f>
        <v>44565.66667</v>
      </c>
      <c r="F511" s="11">
        <f>IFERROR(__xludf.DUMMYFUNCTION("""COMPUTED_VALUE"""),383.2)</f>
        <v>383.2</v>
      </c>
      <c r="G511" s="12">
        <f>IFERROR(__xludf.DUMMYFUNCTION("""COMPUTED_VALUE"""),44565.66666666667)</f>
        <v>44565.66667</v>
      </c>
      <c r="H511" s="11">
        <f>IFERROR(__xludf.DUMMYFUNCTION("""COMPUTED_VALUE"""),179.7)</f>
        <v>179.7</v>
      </c>
    </row>
    <row r="512" ht="15.75" customHeight="1">
      <c r="A512" s="12">
        <f>IFERROR(__xludf.DUMMYFUNCTION("""COMPUTED_VALUE"""),44566.66666666667)</f>
        <v>44566.66667</v>
      </c>
      <c r="B512" s="11">
        <f>IFERROR(__xludf.DUMMYFUNCTION("""COMPUTED_VALUE"""),60.79)</f>
        <v>60.79</v>
      </c>
      <c r="C512" s="12">
        <f>IFERROR(__xludf.DUMMYFUNCTION("""COMPUTED_VALUE"""),44566.66666666667)</f>
        <v>44566.66667</v>
      </c>
      <c r="D512" s="11">
        <f>IFERROR(__xludf.DUMMYFUNCTION("""COMPUTED_VALUE"""),316.38)</f>
        <v>316.38</v>
      </c>
      <c r="E512" s="12">
        <f>IFERROR(__xludf.DUMMYFUNCTION("""COMPUTED_VALUE"""),44566.66666666667)</f>
        <v>44566.66667</v>
      </c>
      <c r="F512" s="11">
        <f>IFERROR(__xludf.DUMMYFUNCTION("""COMPUTED_VALUE"""),362.71)</f>
        <v>362.71</v>
      </c>
      <c r="G512" s="12">
        <f>IFERROR(__xludf.DUMMYFUNCTION("""COMPUTED_VALUE"""),44566.66666666667)</f>
        <v>44566.66667</v>
      </c>
      <c r="H512" s="11">
        <f>IFERROR(__xludf.DUMMYFUNCTION("""COMPUTED_VALUE"""),174.92)</f>
        <v>174.92</v>
      </c>
    </row>
    <row r="513" ht="15.75" customHeight="1">
      <c r="A513" s="12">
        <f>IFERROR(__xludf.DUMMYFUNCTION("""COMPUTED_VALUE"""),44567.66666666667)</f>
        <v>44567.66667</v>
      </c>
      <c r="B513" s="11">
        <f>IFERROR(__xludf.DUMMYFUNCTION("""COMPUTED_VALUE"""),60.47)</f>
        <v>60.47</v>
      </c>
      <c r="C513" s="12">
        <f>IFERROR(__xludf.DUMMYFUNCTION("""COMPUTED_VALUE"""),44567.66666666667)</f>
        <v>44567.66667</v>
      </c>
      <c r="D513" s="11">
        <f>IFERROR(__xludf.DUMMYFUNCTION("""COMPUTED_VALUE"""),313.88)</f>
        <v>313.88</v>
      </c>
      <c r="E513" s="12">
        <f>IFERROR(__xludf.DUMMYFUNCTION("""COMPUTED_VALUE"""),44567.66666666667)</f>
        <v>44567.66667</v>
      </c>
      <c r="F513" s="11">
        <f>IFERROR(__xludf.DUMMYFUNCTION("""COMPUTED_VALUE"""),354.9)</f>
        <v>354.9</v>
      </c>
      <c r="G513" s="12">
        <f>IFERROR(__xludf.DUMMYFUNCTION("""COMPUTED_VALUE"""),44567.66666666667)</f>
        <v>44567.66667</v>
      </c>
      <c r="H513" s="11">
        <f>IFERROR(__xludf.DUMMYFUNCTION("""COMPUTED_VALUE"""),172.0)</f>
        <v>172</v>
      </c>
    </row>
    <row r="514" ht="15.75" customHeight="1">
      <c r="A514" s="12">
        <f>IFERROR(__xludf.DUMMYFUNCTION("""COMPUTED_VALUE"""),44568.66666666667)</f>
        <v>44568.66667</v>
      </c>
      <c r="B514" s="11">
        <f>IFERROR(__xludf.DUMMYFUNCTION("""COMPUTED_VALUE"""),60.33)</f>
        <v>60.33</v>
      </c>
      <c r="C514" s="12">
        <f>IFERROR(__xludf.DUMMYFUNCTION("""COMPUTED_VALUE"""),44568.66666666667)</f>
        <v>44568.66667</v>
      </c>
      <c r="D514" s="11">
        <f>IFERROR(__xludf.DUMMYFUNCTION("""COMPUTED_VALUE"""),314.04)</f>
        <v>314.04</v>
      </c>
      <c r="E514" s="12">
        <f>IFERROR(__xludf.DUMMYFUNCTION("""COMPUTED_VALUE"""),44568.66666666667)</f>
        <v>44568.66667</v>
      </c>
      <c r="F514" s="11">
        <f>IFERROR(__xludf.DUMMYFUNCTION("""COMPUTED_VALUE"""),342.32)</f>
        <v>342.32</v>
      </c>
      <c r="G514" s="12">
        <f>IFERROR(__xludf.DUMMYFUNCTION("""COMPUTED_VALUE"""),44568.66666666667)</f>
        <v>44568.66667</v>
      </c>
      <c r="H514" s="11">
        <f>IFERROR(__xludf.DUMMYFUNCTION("""COMPUTED_VALUE"""),172.17)</f>
        <v>172.17</v>
      </c>
    </row>
    <row r="515" ht="15.75" customHeight="1">
      <c r="A515" s="12">
        <f>IFERROR(__xludf.DUMMYFUNCTION("""COMPUTED_VALUE"""),44571.66666666667)</f>
        <v>44571.66667</v>
      </c>
      <c r="B515" s="11">
        <f>IFERROR(__xludf.DUMMYFUNCTION("""COMPUTED_VALUE"""),60.43)</f>
        <v>60.43</v>
      </c>
      <c r="C515" s="12">
        <f>IFERROR(__xludf.DUMMYFUNCTION("""COMPUTED_VALUE"""),44571.66666666667)</f>
        <v>44571.66667</v>
      </c>
      <c r="D515" s="11">
        <f>IFERROR(__xludf.DUMMYFUNCTION("""COMPUTED_VALUE"""),314.27)</f>
        <v>314.27</v>
      </c>
      <c r="E515" s="12">
        <f>IFERROR(__xludf.DUMMYFUNCTION("""COMPUTED_VALUE"""),44571.66666666667)</f>
        <v>44571.66667</v>
      </c>
      <c r="F515" s="11">
        <f>IFERROR(__xludf.DUMMYFUNCTION("""COMPUTED_VALUE"""),352.71)</f>
        <v>352.71</v>
      </c>
      <c r="G515" s="12">
        <f>IFERROR(__xludf.DUMMYFUNCTION("""COMPUTED_VALUE"""),44571.66666666667)</f>
        <v>44571.66667</v>
      </c>
      <c r="H515" s="11">
        <f>IFERROR(__xludf.DUMMYFUNCTION("""COMPUTED_VALUE"""),172.19)</f>
        <v>172.19</v>
      </c>
    </row>
    <row r="516" ht="15.75" customHeight="1">
      <c r="A516" s="12">
        <f>IFERROR(__xludf.DUMMYFUNCTION("""COMPUTED_VALUE"""),44572.66666666667)</f>
        <v>44572.66667</v>
      </c>
      <c r="B516" s="11">
        <f>IFERROR(__xludf.DUMMYFUNCTION("""COMPUTED_VALUE"""),60.45)</f>
        <v>60.45</v>
      </c>
      <c r="C516" s="12">
        <f>IFERROR(__xludf.DUMMYFUNCTION("""COMPUTED_VALUE"""),44572.66666666667)</f>
        <v>44572.66667</v>
      </c>
      <c r="D516" s="11">
        <f>IFERROR(__xludf.DUMMYFUNCTION("""COMPUTED_VALUE"""),314.98)</f>
        <v>314.98</v>
      </c>
      <c r="E516" s="12">
        <f>IFERROR(__xludf.DUMMYFUNCTION("""COMPUTED_VALUE"""),44572.66666666667)</f>
        <v>44572.66667</v>
      </c>
      <c r="F516" s="11">
        <f>IFERROR(__xludf.DUMMYFUNCTION("""COMPUTED_VALUE"""),354.8)</f>
        <v>354.8</v>
      </c>
      <c r="G516" s="12">
        <f>IFERROR(__xludf.DUMMYFUNCTION("""COMPUTED_VALUE"""),44572.66666666667)</f>
        <v>44572.66667</v>
      </c>
      <c r="H516" s="11">
        <f>IFERROR(__xludf.DUMMYFUNCTION("""COMPUTED_VALUE"""),175.08)</f>
        <v>175.08</v>
      </c>
    </row>
    <row r="517" ht="15.75" customHeight="1">
      <c r="A517" s="12">
        <f>IFERROR(__xludf.DUMMYFUNCTION("""COMPUTED_VALUE"""),44573.66666666667)</f>
        <v>44573.66667</v>
      </c>
      <c r="B517" s="11">
        <f>IFERROR(__xludf.DUMMYFUNCTION("""COMPUTED_VALUE"""),60.54)</f>
        <v>60.54</v>
      </c>
      <c r="C517" s="12">
        <f>IFERROR(__xludf.DUMMYFUNCTION("""COMPUTED_VALUE"""),44573.66666666667)</f>
        <v>44573.66667</v>
      </c>
      <c r="D517" s="11">
        <f>IFERROR(__xludf.DUMMYFUNCTION("""COMPUTED_VALUE"""),318.27)</f>
        <v>318.27</v>
      </c>
      <c r="E517" s="12">
        <f>IFERROR(__xludf.DUMMYFUNCTION("""COMPUTED_VALUE"""),44573.66666666667)</f>
        <v>44573.66667</v>
      </c>
      <c r="F517" s="11">
        <f>IFERROR(__xludf.DUMMYFUNCTION("""COMPUTED_VALUE"""),368.74)</f>
        <v>368.74</v>
      </c>
      <c r="G517" s="12">
        <f>IFERROR(__xludf.DUMMYFUNCTION("""COMPUTED_VALUE"""),44573.66666666667)</f>
        <v>44573.66667</v>
      </c>
      <c r="H517" s="11">
        <f>IFERROR(__xludf.DUMMYFUNCTION("""COMPUTED_VALUE"""),175.53)</f>
        <v>175.53</v>
      </c>
    </row>
    <row r="518" ht="15.75" customHeight="1">
      <c r="A518" s="12">
        <f>IFERROR(__xludf.DUMMYFUNCTION("""COMPUTED_VALUE"""),44574.66666666667)</f>
        <v>44574.66667</v>
      </c>
      <c r="B518" s="11">
        <f>IFERROR(__xludf.DUMMYFUNCTION("""COMPUTED_VALUE"""),60.9)</f>
        <v>60.9</v>
      </c>
      <c r="C518" s="12">
        <f>IFERROR(__xludf.DUMMYFUNCTION("""COMPUTED_VALUE"""),44574.66666666667)</f>
        <v>44574.66667</v>
      </c>
      <c r="D518" s="11">
        <f>IFERROR(__xludf.DUMMYFUNCTION("""COMPUTED_VALUE"""),304.8)</f>
        <v>304.8</v>
      </c>
      <c r="E518" s="12">
        <f>IFERROR(__xludf.DUMMYFUNCTION("""COMPUTED_VALUE"""),44574.66666666667)</f>
        <v>44574.66667</v>
      </c>
      <c r="F518" s="11">
        <f>IFERROR(__xludf.DUMMYFUNCTION("""COMPUTED_VALUE"""),343.85)</f>
        <v>343.85</v>
      </c>
      <c r="G518" s="12">
        <f>IFERROR(__xludf.DUMMYFUNCTION("""COMPUTED_VALUE"""),44574.66666666667)</f>
        <v>44574.66667</v>
      </c>
      <c r="H518" s="11">
        <f>IFERROR(__xludf.DUMMYFUNCTION("""COMPUTED_VALUE"""),172.19)</f>
        <v>172.19</v>
      </c>
    </row>
    <row r="519" ht="15.75" customHeight="1">
      <c r="A519" s="12">
        <f>IFERROR(__xludf.DUMMYFUNCTION("""COMPUTED_VALUE"""),44575.66666666667)</f>
        <v>44575.66667</v>
      </c>
      <c r="B519" s="11">
        <f>IFERROR(__xludf.DUMMYFUNCTION("""COMPUTED_VALUE"""),61.39)</f>
        <v>61.39</v>
      </c>
      <c r="C519" s="12">
        <f>IFERROR(__xludf.DUMMYFUNCTION("""COMPUTED_VALUE"""),44575.66666666667)</f>
        <v>44575.66667</v>
      </c>
      <c r="D519" s="11">
        <f>IFERROR(__xludf.DUMMYFUNCTION("""COMPUTED_VALUE"""),310.2)</f>
        <v>310.2</v>
      </c>
      <c r="E519" s="12">
        <f>IFERROR(__xludf.DUMMYFUNCTION("""COMPUTED_VALUE"""),44575.66666666667)</f>
        <v>44575.66667</v>
      </c>
      <c r="F519" s="11">
        <f>IFERROR(__xludf.DUMMYFUNCTION("""COMPUTED_VALUE"""),349.87)</f>
        <v>349.87</v>
      </c>
      <c r="G519" s="12">
        <f>IFERROR(__xludf.DUMMYFUNCTION("""COMPUTED_VALUE"""),44575.66666666667)</f>
        <v>44575.66667</v>
      </c>
      <c r="H519" s="11">
        <f>IFERROR(__xludf.DUMMYFUNCTION("""COMPUTED_VALUE"""),173.07)</f>
        <v>173.07</v>
      </c>
    </row>
    <row r="520" ht="15.75" customHeight="1">
      <c r="A520" s="12">
        <f>IFERROR(__xludf.DUMMYFUNCTION("""COMPUTED_VALUE"""),44579.66666666667)</f>
        <v>44579.66667</v>
      </c>
      <c r="B520" s="11">
        <f>IFERROR(__xludf.DUMMYFUNCTION("""COMPUTED_VALUE"""),60.9)</f>
        <v>60.9</v>
      </c>
      <c r="C520" s="12">
        <f>IFERROR(__xludf.DUMMYFUNCTION("""COMPUTED_VALUE"""),44579.66666666667)</f>
        <v>44579.66667</v>
      </c>
      <c r="D520" s="11">
        <f>IFERROR(__xludf.DUMMYFUNCTION("""COMPUTED_VALUE"""),302.65)</f>
        <v>302.65</v>
      </c>
      <c r="E520" s="12">
        <f>IFERROR(__xludf.DUMMYFUNCTION("""COMPUTED_VALUE"""),44579.66666666667)</f>
        <v>44579.66667</v>
      </c>
      <c r="F520" s="11">
        <f>IFERROR(__xludf.DUMMYFUNCTION("""COMPUTED_VALUE"""),343.5)</f>
        <v>343.5</v>
      </c>
      <c r="G520" s="12">
        <f>IFERROR(__xludf.DUMMYFUNCTION("""COMPUTED_VALUE"""),44579.66666666667)</f>
        <v>44579.66667</v>
      </c>
      <c r="H520" s="11">
        <f>IFERROR(__xludf.DUMMYFUNCTION("""COMPUTED_VALUE"""),169.8)</f>
        <v>169.8</v>
      </c>
    </row>
    <row r="521" ht="15.75" customHeight="1">
      <c r="A521" s="12">
        <f>IFERROR(__xludf.DUMMYFUNCTION("""COMPUTED_VALUE"""),44580.66666666667)</f>
        <v>44580.66667</v>
      </c>
      <c r="B521" s="11">
        <f>IFERROR(__xludf.DUMMYFUNCTION("""COMPUTED_VALUE"""),61.0)</f>
        <v>61</v>
      </c>
      <c r="C521" s="12">
        <f>IFERROR(__xludf.DUMMYFUNCTION("""COMPUTED_VALUE"""),44580.66666666667)</f>
        <v>44580.66667</v>
      </c>
      <c r="D521" s="11">
        <f>IFERROR(__xludf.DUMMYFUNCTION("""COMPUTED_VALUE"""),303.33)</f>
        <v>303.33</v>
      </c>
      <c r="E521" s="12">
        <f>IFERROR(__xludf.DUMMYFUNCTION("""COMPUTED_VALUE"""),44580.66666666667)</f>
        <v>44580.66667</v>
      </c>
      <c r="F521" s="11">
        <f>IFERROR(__xludf.DUMMYFUNCTION("""COMPUTED_VALUE"""),331.88)</f>
        <v>331.88</v>
      </c>
      <c r="G521" s="12">
        <f>IFERROR(__xludf.DUMMYFUNCTION("""COMPUTED_VALUE"""),44580.66666666667)</f>
        <v>44580.66667</v>
      </c>
      <c r="H521" s="11">
        <f>IFERROR(__xludf.DUMMYFUNCTION("""COMPUTED_VALUE"""),166.23)</f>
        <v>166.23</v>
      </c>
    </row>
    <row r="522" ht="15.75" customHeight="1">
      <c r="A522" s="12">
        <f>IFERROR(__xludf.DUMMYFUNCTION("""COMPUTED_VALUE"""),44581.66666666667)</f>
        <v>44581.66667</v>
      </c>
      <c r="B522" s="11">
        <f>IFERROR(__xludf.DUMMYFUNCTION("""COMPUTED_VALUE"""),60.75)</f>
        <v>60.75</v>
      </c>
      <c r="C522" s="12">
        <f>IFERROR(__xludf.DUMMYFUNCTION("""COMPUTED_VALUE"""),44581.66666666667)</f>
        <v>44581.66667</v>
      </c>
      <c r="D522" s="11">
        <f>IFERROR(__xludf.DUMMYFUNCTION("""COMPUTED_VALUE"""),301.6)</f>
        <v>301.6</v>
      </c>
      <c r="E522" s="12">
        <f>IFERROR(__xludf.DUMMYFUNCTION("""COMPUTED_VALUE"""),44581.66666666667)</f>
        <v>44581.66667</v>
      </c>
      <c r="F522" s="11">
        <f>IFERROR(__xludf.DUMMYFUNCTION("""COMPUTED_VALUE"""),332.09)</f>
        <v>332.09</v>
      </c>
      <c r="G522" s="12">
        <f>IFERROR(__xludf.DUMMYFUNCTION("""COMPUTED_VALUE"""),44581.66666666667)</f>
        <v>44581.66667</v>
      </c>
      <c r="H522" s="11">
        <f>IFERROR(__xludf.DUMMYFUNCTION("""COMPUTED_VALUE"""),164.51)</f>
        <v>164.51</v>
      </c>
    </row>
    <row r="523" ht="15.75" customHeight="1">
      <c r="A523" s="12">
        <f>IFERROR(__xludf.DUMMYFUNCTION("""COMPUTED_VALUE"""),44582.66666666667)</f>
        <v>44582.66667</v>
      </c>
      <c r="B523" s="11">
        <f>IFERROR(__xludf.DUMMYFUNCTION("""COMPUTED_VALUE"""),60.45)</f>
        <v>60.45</v>
      </c>
      <c r="C523" s="12">
        <f>IFERROR(__xludf.DUMMYFUNCTION("""COMPUTED_VALUE"""),44582.66666666667)</f>
        <v>44582.66667</v>
      </c>
      <c r="D523" s="11">
        <f>IFERROR(__xludf.DUMMYFUNCTION("""COMPUTED_VALUE"""),296.03)</f>
        <v>296.03</v>
      </c>
      <c r="E523" s="12">
        <f>IFERROR(__xludf.DUMMYFUNCTION("""COMPUTED_VALUE"""),44582.66666666667)</f>
        <v>44582.66667</v>
      </c>
      <c r="F523" s="11">
        <f>IFERROR(__xludf.DUMMYFUNCTION("""COMPUTED_VALUE"""),314.63)</f>
        <v>314.63</v>
      </c>
      <c r="G523" s="12">
        <f>IFERROR(__xludf.DUMMYFUNCTION("""COMPUTED_VALUE"""),44582.66666666667)</f>
        <v>44582.66667</v>
      </c>
      <c r="H523" s="11">
        <f>IFERROR(__xludf.DUMMYFUNCTION("""COMPUTED_VALUE"""),162.41)</f>
        <v>162.41</v>
      </c>
    </row>
    <row r="524" ht="15.75" customHeight="1">
      <c r="A524" s="12">
        <f>IFERROR(__xludf.DUMMYFUNCTION("""COMPUTED_VALUE"""),44585.66666666667)</f>
        <v>44585.66667</v>
      </c>
      <c r="B524" s="11">
        <f>IFERROR(__xludf.DUMMYFUNCTION("""COMPUTED_VALUE"""),59.96)</f>
        <v>59.96</v>
      </c>
      <c r="C524" s="12">
        <f>IFERROR(__xludf.DUMMYFUNCTION("""COMPUTED_VALUE"""),44585.66666666667)</f>
        <v>44585.66667</v>
      </c>
      <c r="D524" s="11">
        <f>IFERROR(__xludf.DUMMYFUNCTION("""COMPUTED_VALUE"""),296.37)</f>
        <v>296.37</v>
      </c>
      <c r="E524" s="12">
        <f>IFERROR(__xludf.DUMMYFUNCTION("""COMPUTED_VALUE"""),44585.66666666667)</f>
        <v>44585.66667</v>
      </c>
      <c r="F524" s="11">
        <f>IFERROR(__xludf.DUMMYFUNCTION("""COMPUTED_VALUE"""),310.0)</f>
        <v>310</v>
      </c>
      <c r="G524" s="12">
        <f>IFERROR(__xludf.DUMMYFUNCTION("""COMPUTED_VALUE"""),44585.66666666667)</f>
        <v>44585.66667</v>
      </c>
      <c r="H524" s="11">
        <f>IFERROR(__xludf.DUMMYFUNCTION("""COMPUTED_VALUE"""),161.62)</f>
        <v>161.62</v>
      </c>
    </row>
    <row r="525" ht="15.75" customHeight="1">
      <c r="A525" s="12">
        <f>IFERROR(__xludf.DUMMYFUNCTION("""COMPUTED_VALUE"""),44586.66666666667)</f>
        <v>44586.66667</v>
      </c>
      <c r="B525" s="11">
        <f>IFERROR(__xludf.DUMMYFUNCTION("""COMPUTED_VALUE"""),59.82)</f>
        <v>59.82</v>
      </c>
      <c r="C525" s="12">
        <f>IFERROR(__xludf.DUMMYFUNCTION("""COMPUTED_VALUE"""),44586.66666666667)</f>
        <v>44586.66667</v>
      </c>
      <c r="D525" s="11">
        <f>IFERROR(__xludf.DUMMYFUNCTION("""COMPUTED_VALUE"""),288.49)</f>
        <v>288.49</v>
      </c>
      <c r="E525" s="12">
        <f>IFERROR(__xludf.DUMMYFUNCTION("""COMPUTED_VALUE"""),44586.66666666667)</f>
        <v>44586.66667</v>
      </c>
      <c r="F525" s="11">
        <f>IFERROR(__xludf.DUMMYFUNCTION("""COMPUTED_VALUE"""),306.13)</f>
        <v>306.13</v>
      </c>
      <c r="G525" s="12">
        <f>IFERROR(__xludf.DUMMYFUNCTION("""COMPUTED_VALUE"""),44586.66666666667)</f>
        <v>44586.66667</v>
      </c>
      <c r="H525" s="11">
        <f>IFERROR(__xludf.DUMMYFUNCTION("""COMPUTED_VALUE"""),159.78)</f>
        <v>159.78</v>
      </c>
    </row>
    <row r="526" ht="15.75" customHeight="1">
      <c r="A526" s="12">
        <f>IFERROR(__xludf.DUMMYFUNCTION("""COMPUTED_VALUE"""),44587.66666666667)</f>
        <v>44587.66667</v>
      </c>
      <c r="B526" s="11">
        <f>IFERROR(__xludf.DUMMYFUNCTION("""COMPUTED_VALUE"""),59.6)</f>
        <v>59.6</v>
      </c>
      <c r="C526" s="12">
        <f>IFERROR(__xludf.DUMMYFUNCTION("""COMPUTED_VALUE"""),44587.66666666667)</f>
        <v>44587.66667</v>
      </c>
      <c r="D526" s="11">
        <f>IFERROR(__xludf.DUMMYFUNCTION("""COMPUTED_VALUE"""),296.71)</f>
        <v>296.71</v>
      </c>
      <c r="E526" s="12">
        <f>IFERROR(__xludf.DUMMYFUNCTION("""COMPUTED_VALUE"""),44587.66666666667)</f>
        <v>44587.66667</v>
      </c>
      <c r="F526" s="11">
        <f>IFERROR(__xludf.DUMMYFUNCTION("""COMPUTED_VALUE"""),312.47)</f>
        <v>312.47</v>
      </c>
      <c r="G526" s="12">
        <f>IFERROR(__xludf.DUMMYFUNCTION("""COMPUTED_VALUE"""),44587.66666666667)</f>
        <v>44587.66667</v>
      </c>
      <c r="H526" s="11">
        <f>IFERROR(__xludf.DUMMYFUNCTION("""COMPUTED_VALUE"""),159.69)</f>
        <v>159.69</v>
      </c>
    </row>
    <row r="527" ht="15.75" customHeight="1">
      <c r="A527" s="12">
        <f>IFERROR(__xludf.DUMMYFUNCTION("""COMPUTED_VALUE"""),44588.66666666667)</f>
        <v>44588.66667</v>
      </c>
      <c r="B527" s="11">
        <f>IFERROR(__xludf.DUMMYFUNCTION("""COMPUTED_VALUE"""),59.65)</f>
        <v>59.65</v>
      </c>
      <c r="C527" s="12">
        <f>IFERROR(__xludf.DUMMYFUNCTION("""COMPUTED_VALUE"""),44588.66666666667)</f>
        <v>44588.66667</v>
      </c>
      <c r="D527" s="11">
        <f>IFERROR(__xludf.DUMMYFUNCTION("""COMPUTED_VALUE"""),299.84)</f>
        <v>299.84</v>
      </c>
      <c r="E527" s="12">
        <f>IFERROR(__xludf.DUMMYFUNCTION("""COMPUTED_VALUE"""),44588.66666666667)</f>
        <v>44588.66667</v>
      </c>
      <c r="F527" s="11">
        <f>IFERROR(__xludf.DUMMYFUNCTION("""COMPUTED_VALUE"""),276.37)</f>
        <v>276.37</v>
      </c>
      <c r="G527" s="12">
        <f>IFERROR(__xludf.DUMMYFUNCTION("""COMPUTED_VALUE"""),44588.66666666667)</f>
        <v>44588.66667</v>
      </c>
      <c r="H527" s="11">
        <f>IFERROR(__xludf.DUMMYFUNCTION("""COMPUTED_VALUE"""),159.22)</f>
        <v>159.22</v>
      </c>
    </row>
    <row r="528" ht="15.75" customHeight="1">
      <c r="A528" s="12">
        <f>IFERROR(__xludf.DUMMYFUNCTION("""COMPUTED_VALUE"""),44589.66666666667)</f>
        <v>44589.66667</v>
      </c>
      <c r="B528" s="11">
        <f>IFERROR(__xludf.DUMMYFUNCTION("""COMPUTED_VALUE"""),60.84)</f>
        <v>60.84</v>
      </c>
      <c r="C528" s="12">
        <f>IFERROR(__xludf.DUMMYFUNCTION("""COMPUTED_VALUE"""),44589.66666666667)</f>
        <v>44589.66667</v>
      </c>
      <c r="D528" s="11">
        <f>IFERROR(__xludf.DUMMYFUNCTION("""COMPUTED_VALUE"""),308.26)</f>
        <v>308.26</v>
      </c>
      <c r="E528" s="12">
        <f>IFERROR(__xludf.DUMMYFUNCTION("""COMPUTED_VALUE"""),44589.66666666667)</f>
        <v>44589.66667</v>
      </c>
      <c r="F528" s="11">
        <f>IFERROR(__xludf.DUMMYFUNCTION("""COMPUTED_VALUE"""),282.12)</f>
        <v>282.12</v>
      </c>
      <c r="G528" s="12">
        <f>IFERROR(__xludf.DUMMYFUNCTION("""COMPUTED_VALUE"""),44589.66666666667)</f>
        <v>44589.66667</v>
      </c>
      <c r="H528" s="11">
        <f>IFERROR(__xludf.DUMMYFUNCTION("""COMPUTED_VALUE"""),170.33)</f>
        <v>170.33</v>
      </c>
    </row>
    <row r="529" ht="15.75" customHeight="1">
      <c r="A529" s="12">
        <f>IFERROR(__xludf.DUMMYFUNCTION("""COMPUTED_VALUE"""),44592.66666666667)</f>
        <v>44592.66667</v>
      </c>
      <c r="B529" s="11">
        <f>IFERROR(__xludf.DUMMYFUNCTION("""COMPUTED_VALUE"""),61.01)</f>
        <v>61.01</v>
      </c>
      <c r="C529" s="12">
        <f>IFERROR(__xludf.DUMMYFUNCTION("""COMPUTED_VALUE"""),44592.66666666667)</f>
        <v>44592.66667</v>
      </c>
      <c r="D529" s="11">
        <f>IFERROR(__xludf.DUMMYFUNCTION("""COMPUTED_VALUE"""),310.98)</f>
        <v>310.98</v>
      </c>
      <c r="E529" s="12">
        <f>IFERROR(__xludf.DUMMYFUNCTION("""COMPUTED_VALUE"""),44592.66666666667)</f>
        <v>44592.66667</v>
      </c>
      <c r="F529" s="11">
        <f>IFERROR(__xludf.DUMMYFUNCTION("""COMPUTED_VALUE"""),312.24)</f>
        <v>312.24</v>
      </c>
      <c r="G529" s="12">
        <f>IFERROR(__xludf.DUMMYFUNCTION("""COMPUTED_VALUE"""),44592.66666666667)</f>
        <v>44592.66667</v>
      </c>
      <c r="H529" s="11">
        <f>IFERROR(__xludf.DUMMYFUNCTION("""COMPUTED_VALUE"""),174.78)</f>
        <v>174.78</v>
      </c>
    </row>
    <row r="530" ht="15.75" customHeight="1">
      <c r="A530" s="12">
        <f>IFERROR(__xludf.DUMMYFUNCTION("""COMPUTED_VALUE"""),44593.66666666667)</f>
        <v>44593.66667</v>
      </c>
      <c r="B530" s="11">
        <f>IFERROR(__xludf.DUMMYFUNCTION("""COMPUTED_VALUE"""),60.56)</f>
        <v>60.56</v>
      </c>
      <c r="C530" s="12">
        <f>IFERROR(__xludf.DUMMYFUNCTION("""COMPUTED_VALUE"""),44593.66666666667)</f>
        <v>44593.66667</v>
      </c>
      <c r="D530" s="11">
        <f>IFERROR(__xludf.DUMMYFUNCTION("""COMPUTED_VALUE"""),308.76)</f>
        <v>308.76</v>
      </c>
      <c r="E530" s="12">
        <f>IFERROR(__xludf.DUMMYFUNCTION("""COMPUTED_VALUE"""),44593.66666666667)</f>
        <v>44593.66667</v>
      </c>
      <c r="F530" s="11">
        <f>IFERROR(__xludf.DUMMYFUNCTION("""COMPUTED_VALUE"""),310.42)</f>
        <v>310.42</v>
      </c>
      <c r="G530" s="12">
        <f>IFERROR(__xludf.DUMMYFUNCTION("""COMPUTED_VALUE"""),44593.66666666667)</f>
        <v>44593.66667</v>
      </c>
      <c r="H530" s="11">
        <f>IFERROR(__xludf.DUMMYFUNCTION("""COMPUTED_VALUE"""),174.61)</f>
        <v>174.61</v>
      </c>
    </row>
    <row r="531" ht="15.75" customHeight="1">
      <c r="A531" s="12">
        <f>IFERROR(__xludf.DUMMYFUNCTION("""COMPUTED_VALUE"""),44594.66666666667)</f>
        <v>44594.66667</v>
      </c>
      <c r="B531" s="11">
        <f>IFERROR(__xludf.DUMMYFUNCTION("""COMPUTED_VALUE"""),61.18)</f>
        <v>61.18</v>
      </c>
      <c r="C531" s="12">
        <f>IFERROR(__xludf.DUMMYFUNCTION("""COMPUTED_VALUE"""),44594.66666666667)</f>
        <v>44594.66667</v>
      </c>
      <c r="D531" s="11">
        <f>IFERROR(__xludf.DUMMYFUNCTION("""COMPUTED_VALUE"""),313.46)</f>
        <v>313.46</v>
      </c>
      <c r="E531" s="12">
        <f>IFERROR(__xludf.DUMMYFUNCTION("""COMPUTED_VALUE"""),44594.66666666667)</f>
        <v>44594.66667</v>
      </c>
      <c r="F531" s="11">
        <f>IFERROR(__xludf.DUMMYFUNCTION("""COMPUTED_VALUE"""),301.89)</f>
        <v>301.89</v>
      </c>
      <c r="G531" s="12">
        <f>IFERROR(__xludf.DUMMYFUNCTION("""COMPUTED_VALUE"""),44594.66666666667)</f>
        <v>44594.66667</v>
      </c>
      <c r="H531" s="11">
        <f>IFERROR(__xludf.DUMMYFUNCTION("""COMPUTED_VALUE"""),175.84)</f>
        <v>175.84</v>
      </c>
    </row>
    <row r="532" ht="15.75" customHeight="1">
      <c r="A532" s="12">
        <f>IFERROR(__xludf.DUMMYFUNCTION("""COMPUTED_VALUE"""),44595.66666666667)</f>
        <v>44595.66667</v>
      </c>
      <c r="B532" s="11">
        <f>IFERROR(__xludf.DUMMYFUNCTION("""COMPUTED_VALUE"""),61.61)</f>
        <v>61.61</v>
      </c>
      <c r="C532" s="12">
        <f>IFERROR(__xludf.DUMMYFUNCTION("""COMPUTED_VALUE"""),44595.66666666667)</f>
        <v>44595.66667</v>
      </c>
      <c r="D532" s="11">
        <f>IFERROR(__xludf.DUMMYFUNCTION("""COMPUTED_VALUE"""),301.25)</f>
        <v>301.25</v>
      </c>
      <c r="E532" s="12">
        <f>IFERROR(__xludf.DUMMYFUNCTION("""COMPUTED_VALUE"""),44595.66666666667)</f>
        <v>44595.66667</v>
      </c>
      <c r="F532" s="11">
        <f>IFERROR(__xludf.DUMMYFUNCTION("""COMPUTED_VALUE"""),297.05)</f>
        <v>297.05</v>
      </c>
      <c r="G532" s="12">
        <f>IFERROR(__xludf.DUMMYFUNCTION("""COMPUTED_VALUE"""),44595.66666666667)</f>
        <v>44595.66667</v>
      </c>
      <c r="H532" s="11">
        <f>IFERROR(__xludf.DUMMYFUNCTION("""COMPUTED_VALUE"""),172.9)</f>
        <v>172.9</v>
      </c>
    </row>
    <row r="533" ht="15.75" customHeight="1">
      <c r="A533" s="12">
        <f>IFERROR(__xludf.DUMMYFUNCTION("""COMPUTED_VALUE"""),44596.66666666667)</f>
        <v>44596.66667</v>
      </c>
      <c r="B533" s="11">
        <f>IFERROR(__xludf.DUMMYFUNCTION("""COMPUTED_VALUE"""),60.96)</f>
        <v>60.96</v>
      </c>
      <c r="C533" s="12">
        <f>IFERROR(__xludf.DUMMYFUNCTION("""COMPUTED_VALUE"""),44596.66666666667)</f>
        <v>44596.66667</v>
      </c>
      <c r="D533" s="11">
        <f>IFERROR(__xludf.DUMMYFUNCTION("""COMPUTED_VALUE"""),305.94)</f>
        <v>305.94</v>
      </c>
      <c r="E533" s="12">
        <f>IFERROR(__xludf.DUMMYFUNCTION("""COMPUTED_VALUE"""),44596.66666666667)</f>
        <v>44596.66667</v>
      </c>
      <c r="F533" s="11">
        <f>IFERROR(__xludf.DUMMYFUNCTION("""COMPUTED_VALUE"""),307.77)</f>
        <v>307.77</v>
      </c>
      <c r="G533" s="12">
        <f>IFERROR(__xludf.DUMMYFUNCTION("""COMPUTED_VALUE"""),44596.66666666667)</f>
        <v>44596.66667</v>
      </c>
      <c r="H533" s="11">
        <f>IFERROR(__xludf.DUMMYFUNCTION("""COMPUTED_VALUE"""),172.39)</f>
        <v>172.39</v>
      </c>
    </row>
    <row r="534" ht="15.75" customHeight="1">
      <c r="A534" s="12">
        <f>IFERROR(__xludf.DUMMYFUNCTION("""COMPUTED_VALUE"""),44599.66666666667)</f>
        <v>44599.66667</v>
      </c>
      <c r="B534" s="11">
        <f>IFERROR(__xludf.DUMMYFUNCTION("""COMPUTED_VALUE"""),61.6)</f>
        <v>61.6</v>
      </c>
      <c r="C534" s="12">
        <f>IFERROR(__xludf.DUMMYFUNCTION("""COMPUTED_VALUE"""),44599.66666666667)</f>
        <v>44599.66667</v>
      </c>
      <c r="D534" s="11">
        <f>IFERROR(__xludf.DUMMYFUNCTION("""COMPUTED_VALUE"""),300.95)</f>
        <v>300.95</v>
      </c>
      <c r="E534" s="12">
        <f>IFERROR(__xludf.DUMMYFUNCTION("""COMPUTED_VALUE"""),44599.66666666667)</f>
        <v>44599.66667</v>
      </c>
      <c r="F534" s="11">
        <f>IFERROR(__xludf.DUMMYFUNCTION("""COMPUTED_VALUE"""),302.45)</f>
        <v>302.45</v>
      </c>
      <c r="G534" s="12">
        <f>IFERROR(__xludf.DUMMYFUNCTION("""COMPUTED_VALUE"""),44599.66666666667)</f>
        <v>44599.66667</v>
      </c>
      <c r="H534" s="11">
        <f>IFERROR(__xludf.DUMMYFUNCTION("""COMPUTED_VALUE"""),171.66)</f>
        <v>171.66</v>
      </c>
    </row>
    <row r="535" ht="15.75" customHeight="1">
      <c r="A535" s="12">
        <f>IFERROR(__xludf.DUMMYFUNCTION("""COMPUTED_VALUE"""),44600.66666666667)</f>
        <v>44600.66667</v>
      </c>
      <c r="B535" s="11">
        <f>IFERROR(__xludf.DUMMYFUNCTION("""COMPUTED_VALUE"""),62.0)</f>
        <v>62</v>
      </c>
      <c r="C535" s="12">
        <f>IFERROR(__xludf.DUMMYFUNCTION("""COMPUTED_VALUE"""),44600.66666666667)</f>
        <v>44600.66667</v>
      </c>
      <c r="D535" s="11">
        <f>IFERROR(__xludf.DUMMYFUNCTION("""COMPUTED_VALUE"""),304.56)</f>
        <v>304.56</v>
      </c>
      <c r="E535" s="12">
        <f>IFERROR(__xludf.DUMMYFUNCTION("""COMPUTED_VALUE"""),44600.66666666667)</f>
        <v>44600.66667</v>
      </c>
      <c r="F535" s="11">
        <f>IFERROR(__xludf.DUMMYFUNCTION("""COMPUTED_VALUE"""),307.33)</f>
        <v>307.33</v>
      </c>
      <c r="G535" s="12">
        <f>IFERROR(__xludf.DUMMYFUNCTION("""COMPUTED_VALUE"""),44600.66666666667)</f>
        <v>44600.66667</v>
      </c>
      <c r="H535" s="11">
        <f>IFERROR(__xludf.DUMMYFUNCTION("""COMPUTED_VALUE"""),174.83)</f>
        <v>174.83</v>
      </c>
    </row>
    <row r="536" ht="15.75" customHeight="1">
      <c r="A536" s="12">
        <f>IFERROR(__xludf.DUMMYFUNCTION("""COMPUTED_VALUE"""),44601.66666666667)</f>
        <v>44601.66667</v>
      </c>
      <c r="B536" s="11">
        <f>IFERROR(__xludf.DUMMYFUNCTION("""COMPUTED_VALUE"""),61.04)</f>
        <v>61.04</v>
      </c>
      <c r="C536" s="12">
        <f>IFERROR(__xludf.DUMMYFUNCTION("""COMPUTED_VALUE"""),44601.66666666667)</f>
        <v>44601.66667</v>
      </c>
      <c r="D536" s="11">
        <f>IFERROR(__xludf.DUMMYFUNCTION("""COMPUTED_VALUE"""),311.21)</f>
        <v>311.21</v>
      </c>
      <c r="E536" s="12">
        <f>IFERROR(__xludf.DUMMYFUNCTION("""COMPUTED_VALUE"""),44601.66666666667)</f>
        <v>44601.66667</v>
      </c>
      <c r="F536" s="11">
        <f>IFERROR(__xludf.DUMMYFUNCTION("""COMPUTED_VALUE"""),310.67)</f>
        <v>310.67</v>
      </c>
      <c r="G536" s="12">
        <f>IFERROR(__xludf.DUMMYFUNCTION("""COMPUTED_VALUE"""),44601.66666666667)</f>
        <v>44601.66667</v>
      </c>
      <c r="H536" s="11">
        <f>IFERROR(__xludf.DUMMYFUNCTION("""COMPUTED_VALUE"""),176.28)</f>
        <v>176.28</v>
      </c>
    </row>
    <row r="537" ht="15.75" customHeight="1">
      <c r="A537" s="12">
        <f>IFERROR(__xludf.DUMMYFUNCTION("""COMPUTED_VALUE"""),44602.66666666667)</f>
        <v>44602.66667</v>
      </c>
      <c r="B537" s="11">
        <f>IFERROR(__xludf.DUMMYFUNCTION("""COMPUTED_VALUE"""),61.38)</f>
        <v>61.38</v>
      </c>
      <c r="C537" s="12">
        <f>IFERROR(__xludf.DUMMYFUNCTION("""COMPUTED_VALUE"""),44602.66666666667)</f>
        <v>44602.66667</v>
      </c>
      <c r="D537" s="11">
        <f>IFERROR(__xludf.DUMMYFUNCTION("""COMPUTED_VALUE"""),302.38)</f>
        <v>302.38</v>
      </c>
      <c r="E537" s="12">
        <f>IFERROR(__xludf.DUMMYFUNCTION("""COMPUTED_VALUE"""),44602.66666666667)</f>
        <v>44602.66667</v>
      </c>
      <c r="F537" s="11">
        <f>IFERROR(__xludf.DUMMYFUNCTION("""COMPUTED_VALUE"""),301.52)</f>
        <v>301.52</v>
      </c>
      <c r="G537" s="12">
        <f>IFERROR(__xludf.DUMMYFUNCTION("""COMPUTED_VALUE"""),44602.66666666667)</f>
        <v>44602.66667</v>
      </c>
      <c r="H537" s="11">
        <f>IFERROR(__xludf.DUMMYFUNCTION("""COMPUTED_VALUE"""),172.12)</f>
        <v>172.12</v>
      </c>
    </row>
    <row r="538" ht="15.75" customHeight="1">
      <c r="A538" s="12">
        <f>IFERROR(__xludf.DUMMYFUNCTION("""COMPUTED_VALUE"""),44603.66666666667)</f>
        <v>44603.66667</v>
      </c>
      <c r="B538" s="11">
        <f>IFERROR(__xludf.DUMMYFUNCTION("""COMPUTED_VALUE"""),60.29)</f>
        <v>60.29</v>
      </c>
      <c r="C538" s="12">
        <f>IFERROR(__xludf.DUMMYFUNCTION("""COMPUTED_VALUE"""),44603.66666666667)</f>
        <v>44603.66667</v>
      </c>
      <c r="D538" s="11">
        <f>IFERROR(__xludf.DUMMYFUNCTION("""COMPUTED_VALUE"""),295.04)</f>
        <v>295.04</v>
      </c>
      <c r="E538" s="12">
        <f>IFERROR(__xludf.DUMMYFUNCTION("""COMPUTED_VALUE"""),44603.66666666667)</f>
        <v>44603.66667</v>
      </c>
      <c r="F538" s="11">
        <f>IFERROR(__xludf.DUMMYFUNCTION("""COMPUTED_VALUE"""),286.67)</f>
        <v>286.67</v>
      </c>
      <c r="G538" s="12">
        <f>IFERROR(__xludf.DUMMYFUNCTION("""COMPUTED_VALUE"""),44603.66666666667)</f>
        <v>44603.66667</v>
      </c>
      <c r="H538" s="11">
        <f>IFERROR(__xludf.DUMMYFUNCTION("""COMPUTED_VALUE"""),168.64)</f>
        <v>168.64</v>
      </c>
    </row>
    <row r="539" ht="15.75" customHeight="1">
      <c r="A539" s="12">
        <f>IFERROR(__xludf.DUMMYFUNCTION("""COMPUTED_VALUE"""),44606.66666666667)</f>
        <v>44606.66667</v>
      </c>
      <c r="B539" s="11">
        <f>IFERROR(__xludf.DUMMYFUNCTION("""COMPUTED_VALUE"""),60.68)</f>
        <v>60.68</v>
      </c>
      <c r="C539" s="12">
        <f>IFERROR(__xludf.DUMMYFUNCTION("""COMPUTED_VALUE"""),44606.66666666667)</f>
        <v>44606.66667</v>
      </c>
      <c r="D539" s="11">
        <f>IFERROR(__xludf.DUMMYFUNCTION("""COMPUTED_VALUE"""),295.0)</f>
        <v>295</v>
      </c>
      <c r="E539" s="12">
        <f>IFERROR(__xludf.DUMMYFUNCTION("""COMPUTED_VALUE"""),44606.66666666667)</f>
        <v>44606.66667</v>
      </c>
      <c r="F539" s="11">
        <f>IFERROR(__xludf.DUMMYFUNCTION("""COMPUTED_VALUE"""),291.92)</f>
        <v>291.92</v>
      </c>
      <c r="G539" s="12">
        <f>IFERROR(__xludf.DUMMYFUNCTION("""COMPUTED_VALUE"""),44606.66666666667)</f>
        <v>44606.66667</v>
      </c>
      <c r="H539" s="11">
        <f>IFERROR(__xludf.DUMMYFUNCTION("""COMPUTED_VALUE"""),168.88)</f>
        <v>168.88</v>
      </c>
    </row>
    <row r="540" ht="15.75" customHeight="1">
      <c r="A540" s="12">
        <f>IFERROR(__xludf.DUMMYFUNCTION("""COMPUTED_VALUE"""),44607.66666666667)</f>
        <v>44607.66667</v>
      </c>
      <c r="B540" s="11">
        <f>IFERROR(__xludf.DUMMYFUNCTION("""COMPUTED_VALUE"""),60.91)</f>
        <v>60.91</v>
      </c>
      <c r="C540" s="12">
        <f>IFERROR(__xludf.DUMMYFUNCTION("""COMPUTED_VALUE"""),44607.66666666667)</f>
        <v>44607.66667</v>
      </c>
      <c r="D540" s="11">
        <f>IFERROR(__xludf.DUMMYFUNCTION("""COMPUTED_VALUE"""),300.47)</f>
        <v>300.47</v>
      </c>
      <c r="E540" s="12">
        <f>IFERROR(__xludf.DUMMYFUNCTION("""COMPUTED_VALUE"""),44607.66666666667)</f>
        <v>44607.66667</v>
      </c>
      <c r="F540" s="11">
        <f>IFERROR(__xludf.DUMMYFUNCTION("""COMPUTED_VALUE"""),307.48)</f>
        <v>307.48</v>
      </c>
      <c r="G540" s="12">
        <f>IFERROR(__xludf.DUMMYFUNCTION("""COMPUTED_VALUE"""),44607.66666666667)</f>
        <v>44607.66667</v>
      </c>
      <c r="H540" s="11">
        <f>IFERROR(__xludf.DUMMYFUNCTION("""COMPUTED_VALUE"""),172.79)</f>
        <v>172.79</v>
      </c>
    </row>
    <row r="541" ht="15.75" customHeight="1">
      <c r="A541" s="12">
        <f>IFERROR(__xludf.DUMMYFUNCTION("""COMPUTED_VALUE"""),44608.66666666667)</f>
        <v>44608.66667</v>
      </c>
      <c r="B541" s="11">
        <f>IFERROR(__xludf.DUMMYFUNCTION("""COMPUTED_VALUE"""),60.9)</f>
        <v>60.9</v>
      </c>
      <c r="C541" s="12">
        <f>IFERROR(__xludf.DUMMYFUNCTION("""COMPUTED_VALUE"""),44608.66666666667)</f>
        <v>44608.66667</v>
      </c>
      <c r="D541" s="11">
        <f>IFERROR(__xludf.DUMMYFUNCTION("""COMPUTED_VALUE"""),299.5)</f>
        <v>299.5</v>
      </c>
      <c r="E541" s="12">
        <f>IFERROR(__xludf.DUMMYFUNCTION("""COMPUTED_VALUE"""),44608.66666666667)</f>
        <v>44608.66667</v>
      </c>
      <c r="F541" s="11">
        <f>IFERROR(__xludf.DUMMYFUNCTION("""COMPUTED_VALUE"""),307.8)</f>
        <v>307.8</v>
      </c>
      <c r="G541" s="12">
        <f>IFERROR(__xludf.DUMMYFUNCTION("""COMPUTED_VALUE"""),44608.66666666667)</f>
        <v>44608.66667</v>
      </c>
      <c r="H541" s="11">
        <f>IFERROR(__xludf.DUMMYFUNCTION("""COMPUTED_VALUE"""),172.55)</f>
        <v>172.55</v>
      </c>
    </row>
    <row r="542" ht="15.75" customHeight="1">
      <c r="A542" s="12">
        <f>IFERROR(__xludf.DUMMYFUNCTION("""COMPUTED_VALUE"""),44609.66666666667)</f>
        <v>44609.66667</v>
      </c>
      <c r="B542" s="11">
        <f>IFERROR(__xludf.DUMMYFUNCTION("""COMPUTED_VALUE"""),62.12)</f>
        <v>62.12</v>
      </c>
      <c r="C542" s="12">
        <f>IFERROR(__xludf.DUMMYFUNCTION("""COMPUTED_VALUE"""),44609.66666666667)</f>
        <v>44609.66667</v>
      </c>
      <c r="D542" s="11">
        <f>IFERROR(__xludf.DUMMYFUNCTION("""COMPUTED_VALUE"""),290.73)</f>
        <v>290.73</v>
      </c>
      <c r="E542" s="12">
        <f>IFERROR(__xludf.DUMMYFUNCTION("""COMPUTED_VALUE"""),44609.66666666667)</f>
        <v>44609.66667</v>
      </c>
      <c r="F542" s="11">
        <f>IFERROR(__xludf.DUMMYFUNCTION("""COMPUTED_VALUE"""),292.12)</f>
        <v>292.12</v>
      </c>
      <c r="G542" s="12">
        <f>IFERROR(__xludf.DUMMYFUNCTION("""COMPUTED_VALUE"""),44609.66666666667)</f>
        <v>44609.66667</v>
      </c>
      <c r="H542" s="11">
        <f>IFERROR(__xludf.DUMMYFUNCTION("""COMPUTED_VALUE"""),168.88)</f>
        <v>168.88</v>
      </c>
    </row>
    <row r="543" ht="15.75" customHeight="1">
      <c r="A543" s="12">
        <f>IFERROR(__xludf.DUMMYFUNCTION("""COMPUTED_VALUE"""),44610.66666666667)</f>
        <v>44610.66667</v>
      </c>
      <c r="B543" s="11">
        <f>IFERROR(__xludf.DUMMYFUNCTION("""COMPUTED_VALUE"""),62.54)</f>
        <v>62.54</v>
      </c>
      <c r="C543" s="12">
        <f>IFERROR(__xludf.DUMMYFUNCTION("""COMPUTED_VALUE"""),44610.66666666667)</f>
        <v>44610.66667</v>
      </c>
      <c r="D543" s="11">
        <f>IFERROR(__xludf.DUMMYFUNCTION("""COMPUTED_VALUE"""),287.93)</f>
        <v>287.93</v>
      </c>
      <c r="E543" s="12">
        <f>IFERROR(__xludf.DUMMYFUNCTION("""COMPUTED_VALUE"""),44610.66666666667)</f>
        <v>44610.66667</v>
      </c>
      <c r="F543" s="11">
        <f>IFERROR(__xludf.DUMMYFUNCTION("""COMPUTED_VALUE"""),285.66)</f>
        <v>285.66</v>
      </c>
      <c r="G543" s="12">
        <f>IFERROR(__xludf.DUMMYFUNCTION("""COMPUTED_VALUE"""),44610.66666666667)</f>
        <v>44610.66667</v>
      </c>
      <c r="H543" s="11">
        <f>IFERROR(__xludf.DUMMYFUNCTION("""COMPUTED_VALUE"""),167.3)</f>
        <v>167.3</v>
      </c>
    </row>
    <row r="544" ht="15.75" customHeight="1">
      <c r="A544" s="12">
        <f>IFERROR(__xludf.DUMMYFUNCTION("""COMPUTED_VALUE"""),44614.66666666667)</f>
        <v>44614.66667</v>
      </c>
      <c r="B544" s="11">
        <f>IFERROR(__xludf.DUMMYFUNCTION("""COMPUTED_VALUE"""),62.28)</f>
        <v>62.28</v>
      </c>
      <c r="C544" s="12">
        <f>IFERROR(__xludf.DUMMYFUNCTION("""COMPUTED_VALUE"""),44614.66666666667)</f>
        <v>44614.66667</v>
      </c>
      <c r="D544" s="11">
        <f>IFERROR(__xludf.DUMMYFUNCTION("""COMPUTED_VALUE"""),287.72)</f>
        <v>287.72</v>
      </c>
      <c r="E544" s="12">
        <f>IFERROR(__xludf.DUMMYFUNCTION("""COMPUTED_VALUE"""),44614.66666666667)</f>
        <v>44614.66667</v>
      </c>
      <c r="F544" s="11">
        <f>IFERROR(__xludf.DUMMYFUNCTION("""COMPUTED_VALUE"""),273.84)</f>
        <v>273.84</v>
      </c>
      <c r="G544" s="12">
        <f>IFERROR(__xludf.DUMMYFUNCTION("""COMPUTED_VALUE"""),44614.66666666667)</f>
        <v>44614.66667</v>
      </c>
      <c r="H544" s="11">
        <f>IFERROR(__xludf.DUMMYFUNCTION("""COMPUTED_VALUE"""),164.32)</f>
        <v>164.32</v>
      </c>
    </row>
    <row r="545" ht="15.75" customHeight="1">
      <c r="A545" s="12">
        <f>IFERROR(__xludf.DUMMYFUNCTION("""COMPUTED_VALUE"""),44615.66666666667)</f>
        <v>44615.66667</v>
      </c>
      <c r="B545" s="11">
        <f>IFERROR(__xludf.DUMMYFUNCTION("""COMPUTED_VALUE"""),61.59)</f>
        <v>61.59</v>
      </c>
      <c r="C545" s="12">
        <f>IFERROR(__xludf.DUMMYFUNCTION("""COMPUTED_VALUE"""),44615.66666666667)</f>
        <v>44615.66667</v>
      </c>
      <c r="D545" s="11">
        <f>IFERROR(__xludf.DUMMYFUNCTION("""COMPUTED_VALUE"""),280.27)</f>
        <v>280.27</v>
      </c>
      <c r="E545" s="12">
        <f>IFERROR(__xludf.DUMMYFUNCTION("""COMPUTED_VALUE"""),44615.66666666667)</f>
        <v>44615.66667</v>
      </c>
      <c r="F545" s="11">
        <f>IFERROR(__xludf.DUMMYFUNCTION("""COMPUTED_VALUE"""),254.68)</f>
        <v>254.68</v>
      </c>
      <c r="G545" s="12">
        <f>IFERROR(__xludf.DUMMYFUNCTION("""COMPUTED_VALUE"""),44615.66666666667)</f>
        <v>44615.66667</v>
      </c>
      <c r="H545" s="11">
        <f>IFERROR(__xludf.DUMMYFUNCTION("""COMPUTED_VALUE"""),160.07)</f>
        <v>160.07</v>
      </c>
    </row>
    <row r="546" ht="15.75" customHeight="1">
      <c r="A546" s="12">
        <f>IFERROR(__xludf.DUMMYFUNCTION("""COMPUTED_VALUE"""),44616.66666666667)</f>
        <v>44616.66667</v>
      </c>
      <c r="B546" s="11">
        <f>IFERROR(__xludf.DUMMYFUNCTION("""COMPUTED_VALUE"""),60.51)</f>
        <v>60.51</v>
      </c>
      <c r="C546" s="12">
        <f>IFERROR(__xludf.DUMMYFUNCTION("""COMPUTED_VALUE"""),44616.66666666667)</f>
        <v>44616.66667</v>
      </c>
      <c r="D546" s="11">
        <f>IFERROR(__xludf.DUMMYFUNCTION("""COMPUTED_VALUE"""),294.59)</f>
        <v>294.59</v>
      </c>
      <c r="E546" s="12">
        <f>IFERROR(__xludf.DUMMYFUNCTION("""COMPUTED_VALUE"""),44616.66666666667)</f>
        <v>44616.66667</v>
      </c>
      <c r="F546" s="11">
        <f>IFERROR(__xludf.DUMMYFUNCTION("""COMPUTED_VALUE"""),266.92)</f>
        <v>266.92</v>
      </c>
      <c r="G546" s="12">
        <f>IFERROR(__xludf.DUMMYFUNCTION("""COMPUTED_VALUE"""),44616.66666666667)</f>
        <v>44616.66667</v>
      </c>
      <c r="H546" s="11">
        <f>IFERROR(__xludf.DUMMYFUNCTION("""COMPUTED_VALUE"""),162.74)</f>
        <v>162.74</v>
      </c>
    </row>
    <row r="547" ht="15.75" customHeight="1">
      <c r="A547" s="12">
        <f>IFERROR(__xludf.DUMMYFUNCTION("""COMPUTED_VALUE"""),44617.66666666667)</f>
        <v>44617.66667</v>
      </c>
      <c r="B547" s="11">
        <f>IFERROR(__xludf.DUMMYFUNCTION("""COMPUTED_VALUE"""),62.85)</f>
        <v>62.85</v>
      </c>
      <c r="C547" s="12">
        <f>IFERROR(__xludf.DUMMYFUNCTION("""COMPUTED_VALUE"""),44617.66666666667)</f>
        <v>44617.66667</v>
      </c>
      <c r="D547" s="11">
        <f>IFERROR(__xludf.DUMMYFUNCTION("""COMPUTED_VALUE"""),297.31)</f>
        <v>297.31</v>
      </c>
      <c r="E547" s="12">
        <f>IFERROR(__xludf.DUMMYFUNCTION("""COMPUTED_VALUE"""),44617.66666666667)</f>
        <v>44617.66667</v>
      </c>
      <c r="F547" s="11">
        <f>IFERROR(__xludf.DUMMYFUNCTION("""COMPUTED_VALUE"""),269.96)</f>
        <v>269.96</v>
      </c>
      <c r="G547" s="12">
        <f>IFERROR(__xludf.DUMMYFUNCTION("""COMPUTED_VALUE"""),44617.66666666667)</f>
        <v>44617.66667</v>
      </c>
      <c r="H547" s="11">
        <f>IFERROR(__xludf.DUMMYFUNCTION("""COMPUTED_VALUE"""),164.85)</f>
        <v>164.85</v>
      </c>
    </row>
    <row r="548" ht="15.75" customHeight="1">
      <c r="A548" s="12">
        <f>IFERROR(__xludf.DUMMYFUNCTION("""COMPUTED_VALUE"""),44620.66666666667)</f>
        <v>44620.66667</v>
      </c>
      <c r="B548" s="11">
        <f>IFERROR(__xludf.DUMMYFUNCTION("""COMPUTED_VALUE"""),62.24)</f>
        <v>62.24</v>
      </c>
      <c r="C548" s="12">
        <f>IFERROR(__xludf.DUMMYFUNCTION("""COMPUTED_VALUE"""),44620.66666666667)</f>
        <v>44620.66667</v>
      </c>
      <c r="D548" s="11">
        <f>IFERROR(__xludf.DUMMYFUNCTION("""COMPUTED_VALUE"""),298.79)</f>
        <v>298.79</v>
      </c>
      <c r="E548" s="12">
        <f>IFERROR(__xludf.DUMMYFUNCTION("""COMPUTED_VALUE"""),44620.66666666667)</f>
        <v>44620.66667</v>
      </c>
      <c r="F548" s="11">
        <f>IFERROR(__xludf.DUMMYFUNCTION("""COMPUTED_VALUE"""),290.14)</f>
        <v>290.14</v>
      </c>
      <c r="G548" s="12">
        <f>IFERROR(__xludf.DUMMYFUNCTION("""COMPUTED_VALUE"""),44620.66666666667)</f>
        <v>44620.66667</v>
      </c>
      <c r="H548" s="11">
        <f>IFERROR(__xludf.DUMMYFUNCTION("""COMPUTED_VALUE"""),165.12)</f>
        <v>165.12</v>
      </c>
    </row>
    <row r="549" ht="15.75" customHeight="1">
      <c r="A549" s="12">
        <f>IFERROR(__xludf.DUMMYFUNCTION("""COMPUTED_VALUE"""),44621.66666666667)</f>
        <v>44621.66667</v>
      </c>
      <c r="B549" s="11">
        <f>IFERROR(__xludf.DUMMYFUNCTION("""COMPUTED_VALUE"""),61.97)</f>
        <v>61.97</v>
      </c>
      <c r="C549" s="12">
        <f>IFERROR(__xludf.DUMMYFUNCTION("""COMPUTED_VALUE"""),44621.66666666667)</f>
        <v>44621.66667</v>
      </c>
      <c r="D549" s="11">
        <f>IFERROR(__xludf.DUMMYFUNCTION("""COMPUTED_VALUE"""),294.95)</f>
        <v>294.95</v>
      </c>
      <c r="E549" s="12">
        <f>IFERROR(__xludf.DUMMYFUNCTION("""COMPUTED_VALUE"""),44621.66666666667)</f>
        <v>44621.66667</v>
      </c>
      <c r="F549" s="11">
        <f>IFERROR(__xludf.DUMMYFUNCTION("""COMPUTED_VALUE"""),288.12)</f>
        <v>288.12</v>
      </c>
      <c r="G549" s="12">
        <f>IFERROR(__xludf.DUMMYFUNCTION("""COMPUTED_VALUE"""),44621.66666666667)</f>
        <v>44621.66667</v>
      </c>
      <c r="H549" s="11">
        <f>IFERROR(__xludf.DUMMYFUNCTION("""COMPUTED_VALUE"""),163.2)</f>
        <v>163.2</v>
      </c>
    </row>
    <row r="550" ht="15.75" customHeight="1">
      <c r="A550" s="12">
        <f>IFERROR(__xludf.DUMMYFUNCTION("""COMPUTED_VALUE"""),44622.66666666667)</f>
        <v>44622.66667</v>
      </c>
      <c r="B550" s="11">
        <f>IFERROR(__xludf.DUMMYFUNCTION("""COMPUTED_VALUE"""),62.43)</f>
        <v>62.43</v>
      </c>
      <c r="C550" s="12">
        <f>IFERROR(__xludf.DUMMYFUNCTION("""COMPUTED_VALUE"""),44622.66666666667)</f>
        <v>44622.66667</v>
      </c>
      <c r="D550" s="11">
        <f>IFERROR(__xludf.DUMMYFUNCTION("""COMPUTED_VALUE"""),300.19)</f>
        <v>300.19</v>
      </c>
      <c r="E550" s="12">
        <f>IFERROR(__xludf.DUMMYFUNCTION("""COMPUTED_VALUE"""),44622.66666666667)</f>
        <v>44622.66667</v>
      </c>
      <c r="F550" s="11">
        <f>IFERROR(__xludf.DUMMYFUNCTION("""COMPUTED_VALUE"""),293.3)</f>
        <v>293.3</v>
      </c>
      <c r="G550" s="12">
        <f>IFERROR(__xludf.DUMMYFUNCTION("""COMPUTED_VALUE"""),44622.66666666667)</f>
        <v>44622.66667</v>
      </c>
      <c r="H550" s="11">
        <f>IFERROR(__xludf.DUMMYFUNCTION("""COMPUTED_VALUE"""),166.56)</f>
        <v>166.56</v>
      </c>
    </row>
    <row r="551" ht="15.75" customHeight="1">
      <c r="A551" s="12">
        <f>IFERROR(__xludf.DUMMYFUNCTION("""COMPUTED_VALUE"""),44623.66666666667)</f>
        <v>44623.66667</v>
      </c>
      <c r="B551" s="11">
        <f>IFERROR(__xludf.DUMMYFUNCTION("""COMPUTED_VALUE"""),62.47)</f>
        <v>62.47</v>
      </c>
      <c r="C551" s="12">
        <f>IFERROR(__xludf.DUMMYFUNCTION("""COMPUTED_VALUE"""),44623.66666666667)</f>
        <v>44623.66667</v>
      </c>
      <c r="D551" s="11">
        <f>IFERROR(__xludf.DUMMYFUNCTION("""COMPUTED_VALUE"""),295.92)</f>
        <v>295.92</v>
      </c>
      <c r="E551" s="12">
        <f>IFERROR(__xludf.DUMMYFUNCTION("""COMPUTED_VALUE"""),44623.66666666667)</f>
        <v>44623.66667</v>
      </c>
      <c r="F551" s="11">
        <f>IFERROR(__xludf.DUMMYFUNCTION("""COMPUTED_VALUE"""),279.76)</f>
        <v>279.76</v>
      </c>
      <c r="G551" s="12">
        <f>IFERROR(__xludf.DUMMYFUNCTION("""COMPUTED_VALUE"""),44623.66666666667)</f>
        <v>44623.66667</v>
      </c>
      <c r="H551" s="11">
        <f>IFERROR(__xludf.DUMMYFUNCTION("""COMPUTED_VALUE"""),166.23)</f>
        <v>166.23</v>
      </c>
    </row>
    <row r="552" ht="15.75" customHeight="1">
      <c r="A552" s="12">
        <f>IFERROR(__xludf.DUMMYFUNCTION("""COMPUTED_VALUE"""),44624.66666666667)</f>
        <v>44624.66667</v>
      </c>
      <c r="B552" s="11">
        <f>IFERROR(__xludf.DUMMYFUNCTION("""COMPUTED_VALUE"""),62.57)</f>
        <v>62.57</v>
      </c>
      <c r="C552" s="12">
        <f>IFERROR(__xludf.DUMMYFUNCTION("""COMPUTED_VALUE"""),44624.66666666667)</f>
        <v>44624.66667</v>
      </c>
      <c r="D552" s="11">
        <f>IFERROR(__xludf.DUMMYFUNCTION("""COMPUTED_VALUE"""),289.86)</f>
        <v>289.86</v>
      </c>
      <c r="E552" s="12">
        <f>IFERROR(__xludf.DUMMYFUNCTION("""COMPUTED_VALUE"""),44624.66666666667)</f>
        <v>44624.66667</v>
      </c>
      <c r="F552" s="11">
        <f>IFERROR(__xludf.DUMMYFUNCTION("""COMPUTED_VALUE"""),279.43)</f>
        <v>279.43</v>
      </c>
      <c r="G552" s="12">
        <f>IFERROR(__xludf.DUMMYFUNCTION("""COMPUTED_VALUE"""),44624.66666666667)</f>
        <v>44624.66667</v>
      </c>
      <c r="H552" s="11">
        <f>IFERROR(__xludf.DUMMYFUNCTION("""COMPUTED_VALUE"""),163.17)</f>
        <v>163.17</v>
      </c>
    </row>
    <row r="553" ht="15.75" customHeight="1">
      <c r="A553" s="12">
        <f>IFERROR(__xludf.DUMMYFUNCTION("""COMPUTED_VALUE"""),44627.66666666667)</f>
        <v>44627.66667</v>
      </c>
      <c r="B553" s="11">
        <f>IFERROR(__xludf.DUMMYFUNCTION("""COMPUTED_VALUE"""),61.08)</f>
        <v>61.08</v>
      </c>
      <c r="C553" s="12">
        <f>IFERROR(__xludf.DUMMYFUNCTION("""COMPUTED_VALUE"""),44627.66666666667)</f>
        <v>44627.66667</v>
      </c>
      <c r="D553" s="11">
        <f>IFERROR(__xludf.DUMMYFUNCTION("""COMPUTED_VALUE"""),278.91)</f>
        <v>278.91</v>
      </c>
      <c r="E553" s="12">
        <f>IFERROR(__xludf.DUMMYFUNCTION("""COMPUTED_VALUE"""),44627.66666666667)</f>
        <v>44627.66667</v>
      </c>
      <c r="F553" s="11">
        <f>IFERROR(__xludf.DUMMYFUNCTION("""COMPUTED_VALUE"""),268.19)</f>
        <v>268.19</v>
      </c>
      <c r="G553" s="12">
        <f>IFERROR(__xludf.DUMMYFUNCTION("""COMPUTED_VALUE"""),44627.66666666667)</f>
        <v>44627.66667</v>
      </c>
      <c r="H553" s="11">
        <f>IFERROR(__xludf.DUMMYFUNCTION("""COMPUTED_VALUE"""),159.3)</f>
        <v>159.3</v>
      </c>
    </row>
    <row r="554" ht="15.75" customHeight="1">
      <c r="A554" s="12">
        <f>IFERROR(__xludf.DUMMYFUNCTION("""COMPUTED_VALUE"""),44628.66666666667)</f>
        <v>44628.66667</v>
      </c>
      <c r="B554" s="11">
        <f>IFERROR(__xludf.DUMMYFUNCTION("""COMPUTED_VALUE"""),58.66)</f>
        <v>58.66</v>
      </c>
      <c r="C554" s="12">
        <f>IFERROR(__xludf.DUMMYFUNCTION("""COMPUTED_VALUE"""),44628.66666666667)</f>
        <v>44628.66667</v>
      </c>
      <c r="D554" s="11">
        <f>IFERROR(__xludf.DUMMYFUNCTION("""COMPUTED_VALUE"""),275.85)</f>
        <v>275.85</v>
      </c>
      <c r="E554" s="12">
        <f>IFERROR(__xludf.DUMMYFUNCTION("""COMPUTED_VALUE"""),44628.66666666667)</f>
        <v>44628.66667</v>
      </c>
      <c r="F554" s="11">
        <f>IFERROR(__xludf.DUMMYFUNCTION("""COMPUTED_VALUE"""),274.8)</f>
        <v>274.8</v>
      </c>
      <c r="G554" s="12">
        <f>IFERROR(__xludf.DUMMYFUNCTION("""COMPUTED_VALUE"""),44628.66666666667)</f>
        <v>44628.66667</v>
      </c>
      <c r="H554" s="11">
        <f>IFERROR(__xludf.DUMMYFUNCTION("""COMPUTED_VALUE"""),157.44)</f>
        <v>157.44</v>
      </c>
    </row>
    <row r="555" ht="15.75" customHeight="1">
      <c r="A555" s="12">
        <f>IFERROR(__xludf.DUMMYFUNCTION("""COMPUTED_VALUE"""),44629.66666666667)</f>
        <v>44629.66667</v>
      </c>
      <c r="B555" s="11">
        <f>IFERROR(__xludf.DUMMYFUNCTION("""COMPUTED_VALUE"""),58.96)</f>
        <v>58.96</v>
      </c>
      <c r="C555" s="12">
        <f>IFERROR(__xludf.DUMMYFUNCTION("""COMPUTED_VALUE"""),44629.66666666667)</f>
        <v>44629.66667</v>
      </c>
      <c r="D555" s="11">
        <f>IFERROR(__xludf.DUMMYFUNCTION("""COMPUTED_VALUE"""),288.5)</f>
        <v>288.5</v>
      </c>
      <c r="E555" s="12">
        <f>IFERROR(__xludf.DUMMYFUNCTION("""COMPUTED_VALUE"""),44629.66666666667)</f>
        <v>44629.66667</v>
      </c>
      <c r="F555" s="11">
        <f>IFERROR(__xludf.DUMMYFUNCTION("""COMPUTED_VALUE"""),286.32)</f>
        <v>286.32</v>
      </c>
      <c r="G555" s="12">
        <f>IFERROR(__xludf.DUMMYFUNCTION("""COMPUTED_VALUE"""),44629.66666666667)</f>
        <v>44629.66667</v>
      </c>
      <c r="H555" s="11">
        <f>IFERROR(__xludf.DUMMYFUNCTION("""COMPUTED_VALUE"""),162.95)</f>
        <v>162.95</v>
      </c>
    </row>
    <row r="556" ht="15.75" customHeight="1">
      <c r="A556" s="12">
        <f>IFERROR(__xludf.DUMMYFUNCTION("""COMPUTED_VALUE"""),44630.66666666667)</f>
        <v>44630.66667</v>
      </c>
      <c r="B556" s="11">
        <f>IFERROR(__xludf.DUMMYFUNCTION("""COMPUTED_VALUE"""),57.88)</f>
        <v>57.88</v>
      </c>
      <c r="C556" s="12">
        <f>IFERROR(__xludf.DUMMYFUNCTION("""COMPUTED_VALUE"""),44630.66666666667)</f>
        <v>44630.66667</v>
      </c>
      <c r="D556" s="11">
        <f>IFERROR(__xludf.DUMMYFUNCTION("""COMPUTED_VALUE"""),285.59)</f>
        <v>285.59</v>
      </c>
      <c r="E556" s="12">
        <f>IFERROR(__xludf.DUMMYFUNCTION("""COMPUTED_VALUE"""),44630.66666666667)</f>
        <v>44630.66667</v>
      </c>
      <c r="F556" s="11">
        <f>IFERROR(__xludf.DUMMYFUNCTION("""COMPUTED_VALUE"""),279.43)</f>
        <v>279.43</v>
      </c>
      <c r="G556" s="12">
        <f>IFERROR(__xludf.DUMMYFUNCTION("""COMPUTED_VALUE"""),44630.66666666667)</f>
        <v>44630.66667</v>
      </c>
      <c r="H556" s="11">
        <f>IFERROR(__xludf.DUMMYFUNCTION("""COMPUTED_VALUE"""),158.52)</f>
        <v>158.52</v>
      </c>
    </row>
    <row r="557" ht="15.75" customHeight="1">
      <c r="A557" s="12">
        <f>IFERROR(__xludf.DUMMYFUNCTION("""COMPUTED_VALUE"""),44631.66666666667)</f>
        <v>44631.66667</v>
      </c>
      <c r="B557" s="11">
        <f>IFERROR(__xludf.DUMMYFUNCTION("""COMPUTED_VALUE"""),57.92)</f>
        <v>57.92</v>
      </c>
      <c r="C557" s="12">
        <f>IFERROR(__xludf.DUMMYFUNCTION("""COMPUTED_VALUE"""),44631.66666666667)</f>
        <v>44631.66667</v>
      </c>
      <c r="D557" s="11">
        <f>IFERROR(__xludf.DUMMYFUNCTION("""COMPUTED_VALUE"""),280.07)</f>
        <v>280.07</v>
      </c>
      <c r="E557" s="12">
        <f>IFERROR(__xludf.DUMMYFUNCTION("""COMPUTED_VALUE"""),44631.66666666667)</f>
        <v>44631.66667</v>
      </c>
      <c r="F557" s="11">
        <f>IFERROR(__xludf.DUMMYFUNCTION("""COMPUTED_VALUE"""),265.12)</f>
        <v>265.12</v>
      </c>
      <c r="G557" s="12">
        <f>IFERROR(__xludf.DUMMYFUNCTION("""COMPUTED_VALUE"""),44631.66666666667)</f>
        <v>44631.66667</v>
      </c>
      <c r="H557" s="11">
        <f>IFERROR(__xludf.DUMMYFUNCTION("""COMPUTED_VALUE"""),154.73)</f>
        <v>154.73</v>
      </c>
    </row>
    <row r="558" ht="15.75" customHeight="1">
      <c r="A558" s="12">
        <f>IFERROR(__xludf.DUMMYFUNCTION("""COMPUTED_VALUE"""),44634.66666666667)</f>
        <v>44634.66667</v>
      </c>
      <c r="B558" s="11">
        <f>IFERROR(__xludf.DUMMYFUNCTION("""COMPUTED_VALUE"""),58.54)</f>
        <v>58.54</v>
      </c>
      <c r="C558" s="12">
        <f>IFERROR(__xludf.DUMMYFUNCTION("""COMPUTED_VALUE"""),44634.66666666667)</f>
        <v>44634.66667</v>
      </c>
      <c r="D558" s="11">
        <f>IFERROR(__xludf.DUMMYFUNCTION("""COMPUTED_VALUE"""),276.44)</f>
        <v>276.44</v>
      </c>
      <c r="E558" s="12">
        <f>IFERROR(__xludf.DUMMYFUNCTION("""COMPUTED_VALUE"""),44634.66666666667)</f>
        <v>44634.66667</v>
      </c>
      <c r="F558" s="11">
        <f>IFERROR(__xludf.DUMMYFUNCTION("""COMPUTED_VALUE"""),255.46)</f>
        <v>255.46</v>
      </c>
      <c r="G558" s="12">
        <f>IFERROR(__xludf.DUMMYFUNCTION("""COMPUTED_VALUE"""),44634.66666666667)</f>
        <v>44634.66667</v>
      </c>
      <c r="H558" s="11">
        <f>IFERROR(__xludf.DUMMYFUNCTION("""COMPUTED_VALUE"""),150.62)</f>
        <v>150.62</v>
      </c>
    </row>
    <row r="559" ht="15.75" customHeight="1">
      <c r="A559" s="12">
        <f>IFERROR(__xludf.DUMMYFUNCTION("""COMPUTED_VALUE"""),44635.66666666667)</f>
        <v>44635.66667</v>
      </c>
      <c r="B559" s="11">
        <f>IFERROR(__xludf.DUMMYFUNCTION("""COMPUTED_VALUE"""),59.62)</f>
        <v>59.62</v>
      </c>
      <c r="C559" s="12">
        <f>IFERROR(__xludf.DUMMYFUNCTION("""COMPUTED_VALUE"""),44635.66666666667)</f>
        <v>44635.66667</v>
      </c>
      <c r="D559" s="11">
        <f>IFERROR(__xludf.DUMMYFUNCTION("""COMPUTED_VALUE"""),287.15)</f>
        <v>287.15</v>
      </c>
      <c r="E559" s="12">
        <f>IFERROR(__xludf.DUMMYFUNCTION("""COMPUTED_VALUE"""),44635.66666666667)</f>
        <v>44635.66667</v>
      </c>
      <c r="F559" s="11">
        <f>IFERROR(__xludf.DUMMYFUNCTION("""COMPUTED_VALUE"""),267.3)</f>
        <v>267.3</v>
      </c>
      <c r="G559" s="12">
        <f>IFERROR(__xludf.DUMMYFUNCTION("""COMPUTED_VALUE"""),44635.66666666667)</f>
        <v>44635.66667</v>
      </c>
      <c r="H559" s="11">
        <f>IFERROR(__xludf.DUMMYFUNCTION("""COMPUTED_VALUE"""),155.09)</f>
        <v>155.09</v>
      </c>
    </row>
    <row r="560" ht="15.75" customHeight="1">
      <c r="A560" s="12">
        <f>IFERROR(__xludf.DUMMYFUNCTION("""COMPUTED_VALUE"""),44636.66666666667)</f>
        <v>44636.66667</v>
      </c>
      <c r="B560" s="11">
        <f>IFERROR(__xludf.DUMMYFUNCTION("""COMPUTED_VALUE"""),59.46)</f>
        <v>59.46</v>
      </c>
      <c r="C560" s="12">
        <f>IFERROR(__xludf.DUMMYFUNCTION("""COMPUTED_VALUE"""),44636.66666666667)</f>
        <v>44636.66667</v>
      </c>
      <c r="D560" s="11">
        <f>IFERROR(__xludf.DUMMYFUNCTION("""COMPUTED_VALUE"""),294.39)</f>
        <v>294.39</v>
      </c>
      <c r="E560" s="12">
        <f>IFERROR(__xludf.DUMMYFUNCTION("""COMPUTED_VALUE"""),44636.66666666667)</f>
        <v>44636.66667</v>
      </c>
      <c r="F560" s="11">
        <f>IFERROR(__xludf.DUMMYFUNCTION("""COMPUTED_VALUE"""),280.08)</f>
        <v>280.08</v>
      </c>
      <c r="G560" s="12">
        <f>IFERROR(__xludf.DUMMYFUNCTION("""COMPUTED_VALUE"""),44636.66666666667)</f>
        <v>44636.66667</v>
      </c>
      <c r="H560" s="11">
        <f>IFERROR(__xludf.DUMMYFUNCTION("""COMPUTED_VALUE"""),159.59)</f>
        <v>159.59</v>
      </c>
    </row>
    <row r="561" ht="15.75" customHeight="1">
      <c r="A561" s="12">
        <f>IFERROR(__xludf.DUMMYFUNCTION("""COMPUTED_VALUE"""),44637.66666666667)</f>
        <v>44637.66667</v>
      </c>
      <c r="B561" s="11">
        <f>IFERROR(__xludf.DUMMYFUNCTION("""COMPUTED_VALUE"""),60.09)</f>
        <v>60.09</v>
      </c>
      <c r="C561" s="12">
        <f>IFERROR(__xludf.DUMMYFUNCTION("""COMPUTED_VALUE"""),44637.66666666667)</f>
        <v>44637.66667</v>
      </c>
      <c r="D561" s="11">
        <f>IFERROR(__xludf.DUMMYFUNCTION("""COMPUTED_VALUE"""),295.22)</f>
        <v>295.22</v>
      </c>
      <c r="E561" s="12">
        <f>IFERROR(__xludf.DUMMYFUNCTION("""COMPUTED_VALUE"""),44637.66666666667)</f>
        <v>44637.66667</v>
      </c>
      <c r="F561" s="11">
        <f>IFERROR(__xludf.DUMMYFUNCTION("""COMPUTED_VALUE"""),290.53)</f>
        <v>290.53</v>
      </c>
      <c r="G561" s="12">
        <f>IFERROR(__xludf.DUMMYFUNCTION("""COMPUTED_VALUE"""),44637.66666666667)</f>
        <v>44637.66667</v>
      </c>
      <c r="H561" s="11">
        <f>IFERROR(__xludf.DUMMYFUNCTION("""COMPUTED_VALUE"""),160.62)</f>
        <v>160.62</v>
      </c>
    </row>
    <row r="562" ht="15.75" customHeight="1">
      <c r="A562" s="12">
        <f>IFERROR(__xludf.DUMMYFUNCTION("""COMPUTED_VALUE"""),44638.66666666667)</f>
        <v>44638.66667</v>
      </c>
      <c r="B562" s="11">
        <f>IFERROR(__xludf.DUMMYFUNCTION("""COMPUTED_VALUE"""),60.1)</f>
        <v>60.1</v>
      </c>
      <c r="C562" s="12">
        <f>IFERROR(__xludf.DUMMYFUNCTION("""COMPUTED_VALUE"""),44638.66666666667)</f>
        <v>44638.66667</v>
      </c>
      <c r="D562" s="11">
        <f>IFERROR(__xludf.DUMMYFUNCTION("""COMPUTED_VALUE"""),300.43)</f>
        <v>300.43</v>
      </c>
      <c r="E562" s="12">
        <f>IFERROR(__xludf.DUMMYFUNCTION("""COMPUTED_VALUE"""),44638.66666666667)</f>
        <v>44638.66667</v>
      </c>
      <c r="F562" s="11">
        <f>IFERROR(__xludf.DUMMYFUNCTION("""COMPUTED_VALUE"""),301.8)</f>
        <v>301.8</v>
      </c>
      <c r="G562" s="12">
        <f>IFERROR(__xludf.DUMMYFUNCTION("""COMPUTED_VALUE"""),44638.66666666667)</f>
        <v>44638.66667</v>
      </c>
      <c r="H562" s="11">
        <f>IFERROR(__xludf.DUMMYFUNCTION("""COMPUTED_VALUE"""),163.98)</f>
        <v>163.98</v>
      </c>
    </row>
    <row r="563" ht="15.75" customHeight="1">
      <c r="A563" s="12">
        <f>IFERROR(__xludf.DUMMYFUNCTION("""COMPUTED_VALUE"""),44641.66666666667)</f>
        <v>44641.66667</v>
      </c>
      <c r="B563" s="11">
        <f>IFERROR(__xludf.DUMMYFUNCTION("""COMPUTED_VALUE"""),60.58)</f>
        <v>60.58</v>
      </c>
      <c r="C563" s="12">
        <f>IFERROR(__xludf.DUMMYFUNCTION("""COMPUTED_VALUE"""),44641.66666666667)</f>
        <v>44641.66667</v>
      </c>
      <c r="D563" s="11">
        <f>IFERROR(__xludf.DUMMYFUNCTION("""COMPUTED_VALUE"""),299.16)</f>
        <v>299.16</v>
      </c>
      <c r="E563" s="12">
        <f>IFERROR(__xludf.DUMMYFUNCTION("""COMPUTED_VALUE"""),44641.66666666667)</f>
        <v>44641.66667</v>
      </c>
      <c r="F563" s="11">
        <f>IFERROR(__xludf.DUMMYFUNCTION("""COMPUTED_VALUE"""),307.05)</f>
        <v>307.05</v>
      </c>
      <c r="G563" s="12">
        <f>IFERROR(__xludf.DUMMYFUNCTION("""COMPUTED_VALUE"""),44641.66666666667)</f>
        <v>44641.66667</v>
      </c>
      <c r="H563" s="11">
        <f>IFERROR(__xludf.DUMMYFUNCTION("""COMPUTED_VALUE"""),165.38)</f>
        <v>165.38</v>
      </c>
    </row>
    <row r="564" ht="15.75" customHeight="1">
      <c r="A564" s="12">
        <f>IFERROR(__xludf.DUMMYFUNCTION("""COMPUTED_VALUE"""),44642.66666666667)</f>
        <v>44642.66667</v>
      </c>
      <c r="B564" s="11">
        <f>IFERROR(__xludf.DUMMYFUNCTION("""COMPUTED_VALUE"""),60.8)</f>
        <v>60.8</v>
      </c>
      <c r="C564" s="12">
        <f>IFERROR(__xludf.DUMMYFUNCTION("""COMPUTED_VALUE"""),44642.66666666667)</f>
        <v>44642.66667</v>
      </c>
      <c r="D564" s="11">
        <f>IFERROR(__xludf.DUMMYFUNCTION("""COMPUTED_VALUE"""),304.06)</f>
        <v>304.06</v>
      </c>
      <c r="E564" s="12">
        <f>IFERROR(__xludf.DUMMYFUNCTION("""COMPUTED_VALUE"""),44642.66666666667)</f>
        <v>44642.66667</v>
      </c>
      <c r="F564" s="11">
        <f>IFERROR(__xludf.DUMMYFUNCTION("""COMPUTED_VALUE"""),331.33)</f>
        <v>331.33</v>
      </c>
      <c r="G564" s="12">
        <f>IFERROR(__xludf.DUMMYFUNCTION("""COMPUTED_VALUE"""),44642.66666666667)</f>
        <v>44642.66667</v>
      </c>
      <c r="H564" s="11">
        <f>IFERROR(__xludf.DUMMYFUNCTION("""COMPUTED_VALUE"""),168.82)</f>
        <v>168.82</v>
      </c>
    </row>
    <row r="565" ht="15.75" customHeight="1">
      <c r="A565" s="12">
        <f>IFERROR(__xludf.DUMMYFUNCTION("""COMPUTED_VALUE"""),44643.66666666667)</f>
        <v>44643.66667</v>
      </c>
      <c r="B565" s="11">
        <f>IFERROR(__xludf.DUMMYFUNCTION("""COMPUTED_VALUE"""),60.4)</f>
        <v>60.4</v>
      </c>
      <c r="C565" s="12">
        <f>IFERROR(__xludf.DUMMYFUNCTION("""COMPUTED_VALUE"""),44643.66666666667)</f>
        <v>44643.66667</v>
      </c>
      <c r="D565" s="11">
        <f>IFERROR(__xludf.DUMMYFUNCTION("""COMPUTED_VALUE"""),299.49)</f>
        <v>299.49</v>
      </c>
      <c r="E565" s="12">
        <f>IFERROR(__xludf.DUMMYFUNCTION("""COMPUTED_VALUE"""),44643.66666666667)</f>
        <v>44643.66667</v>
      </c>
      <c r="F565" s="11">
        <f>IFERROR(__xludf.DUMMYFUNCTION("""COMPUTED_VALUE"""),333.04)</f>
        <v>333.04</v>
      </c>
      <c r="G565" s="12">
        <f>IFERROR(__xludf.DUMMYFUNCTION("""COMPUTED_VALUE"""),44643.66666666667)</f>
        <v>44643.66667</v>
      </c>
      <c r="H565" s="11">
        <f>IFERROR(__xludf.DUMMYFUNCTION("""COMPUTED_VALUE"""),170.21)</f>
        <v>170.21</v>
      </c>
    </row>
    <row r="566" ht="15.75" customHeight="1">
      <c r="A566" s="12">
        <f>IFERROR(__xludf.DUMMYFUNCTION("""COMPUTED_VALUE"""),44644.66666666667)</f>
        <v>44644.66667</v>
      </c>
      <c r="B566" s="11">
        <f>IFERROR(__xludf.DUMMYFUNCTION("""COMPUTED_VALUE"""),60.98)</f>
        <v>60.98</v>
      </c>
      <c r="C566" s="12">
        <f>IFERROR(__xludf.DUMMYFUNCTION("""COMPUTED_VALUE"""),44644.66666666667)</f>
        <v>44644.66667</v>
      </c>
      <c r="D566" s="11">
        <f>IFERROR(__xludf.DUMMYFUNCTION("""COMPUTED_VALUE"""),304.1)</f>
        <v>304.1</v>
      </c>
      <c r="E566" s="12">
        <f>IFERROR(__xludf.DUMMYFUNCTION("""COMPUTED_VALUE"""),44644.66666666667)</f>
        <v>44644.66667</v>
      </c>
      <c r="F566" s="11">
        <f>IFERROR(__xludf.DUMMYFUNCTION("""COMPUTED_VALUE"""),337.97)</f>
        <v>337.97</v>
      </c>
      <c r="G566" s="12">
        <f>IFERROR(__xludf.DUMMYFUNCTION("""COMPUTED_VALUE"""),44644.66666666667)</f>
        <v>44644.66667</v>
      </c>
      <c r="H566" s="11">
        <f>IFERROR(__xludf.DUMMYFUNCTION("""COMPUTED_VALUE"""),174.07)</f>
        <v>174.07</v>
      </c>
    </row>
    <row r="567" ht="15.75" customHeight="1">
      <c r="A567" s="12">
        <f>IFERROR(__xludf.DUMMYFUNCTION("""COMPUTED_VALUE"""),44645.66666666667)</f>
        <v>44645.66667</v>
      </c>
      <c r="B567" s="11">
        <f>IFERROR(__xludf.DUMMYFUNCTION("""COMPUTED_VALUE"""),61.53)</f>
        <v>61.53</v>
      </c>
      <c r="C567" s="12">
        <f>IFERROR(__xludf.DUMMYFUNCTION("""COMPUTED_VALUE"""),44645.66666666667)</f>
        <v>44645.66667</v>
      </c>
      <c r="D567" s="11">
        <f>IFERROR(__xludf.DUMMYFUNCTION("""COMPUTED_VALUE"""),303.68)</f>
        <v>303.68</v>
      </c>
      <c r="E567" s="12">
        <f>IFERROR(__xludf.DUMMYFUNCTION("""COMPUTED_VALUE"""),44645.66666666667)</f>
        <v>44645.66667</v>
      </c>
      <c r="F567" s="11">
        <f>IFERROR(__xludf.DUMMYFUNCTION("""COMPUTED_VALUE"""),336.88)</f>
        <v>336.88</v>
      </c>
      <c r="G567" s="12">
        <f>IFERROR(__xludf.DUMMYFUNCTION("""COMPUTED_VALUE"""),44645.66666666667)</f>
        <v>44645.66667</v>
      </c>
      <c r="H567" s="11">
        <f>IFERROR(__xludf.DUMMYFUNCTION("""COMPUTED_VALUE"""),174.72)</f>
        <v>174.72</v>
      </c>
    </row>
    <row r="568" ht="15.75" customHeight="1">
      <c r="A568" s="12">
        <f>IFERROR(__xludf.DUMMYFUNCTION("""COMPUTED_VALUE"""),44648.66666666667)</f>
        <v>44648.66667</v>
      </c>
      <c r="B568" s="11">
        <f>IFERROR(__xludf.DUMMYFUNCTION("""COMPUTED_VALUE"""),61.92)</f>
        <v>61.92</v>
      </c>
      <c r="C568" s="12">
        <f>IFERROR(__xludf.DUMMYFUNCTION("""COMPUTED_VALUE"""),44648.66666666667)</f>
        <v>44648.66667</v>
      </c>
      <c r="D568" s="11">
        <f>IFERROR(__xludf.DUMMYFUNCTION("""COMPUTED_VALUE"""),310.7)</f>
        <v>310.7</v>
      </c>
      <c r="E568" s="12">
        <f>IFERROR(__xludf.DUMMYFUNCTION("""COMPUTED_VALUE"""),44648.66666666667)</f>
        <v>44648.66667</v>
      </c>
      <c r="F568" s="11">
        <f>IFERROR(__xludf.DUMMYFUNCTION("""COMPUTED_VALUE"""),363.95)</f>
        <v>363.95</v>
      </c>
      <c r="G568" s="12">
        <f>IFERROR(__xludf.DUMMYFUNCTION("""COMPUTED_VALUE"""),44648.66666666667)</f>
        <v>44648.66667</v>
      </c>
      <c r="H568" s="11">
        <f>IFERROR(__xludf.DUMMYFUNCTION("""COMPUTED_VALUE"""),175.6)</f>
        <v>175.6</v>
      </c>
    </row>
    <row r="569" ht="15.75" customHeight="1">
      <c r="A569" s="12">
        <f>IFERROR(__xludf.DUMMYFUNCTION("""COMPUTED_VALUE"""),44649.66666666667)</f>
        <v>44649.66667</v>
      </c>
      <c r="B569" s="11">
        <f>IFERROR(__xludf.DUMMYFUNCTION("""COMPUTED_VALUE"""),62.16)</f>
        <v>62.16</v>
      </c>
      <c r="C569" s="12">
        <f>IFERROR(__xludf.DUMMYFUNCTION("""COMPUTED_VALUE"""),44649.66666666667)</f>
        <v>44649.66667</v>
      </c>
      <c r="D569" s="11">
        <f>IFERROR(__xludf.DUMMYFUNCTION("""COMPUTED_VALUE"""),315.41)</f>
        <v>315.41</v>
      </c>
      <c r="E569" s="12">
        <f>IFERROR(__xludf.DUMMYFUNCTION("""COMPUTED_VALUE"""),44649.66666666667)</f>
        <v>44649.66667</v>
      </c>
      <c r="F569" s="11">
        <f>IFERROR(__xludf.DUMMYFUNCTION("""COMPUTED_VALUE"""),366.52)</f>
        <v>366.52</v>
      </c>
      <c r="G569" s="12">
        <f>IFERROR(__xludf.DUMMYFUNCTION("""COMPUTED_VALUE"""),44649.66666666667)</f>
        <v>44649.66667</v>
      </c>
      <c r="H569" s="11">
        <f>IFERROR(__xludf.DUMMYFUNCTION("""COMPUTED_VALUE"""),178.96)</f>
        <v>178.96</v>
      </c>
    </row>
    <row r="570" ht="15.75" customHeight="1">
      <c r="A570" s="12">
        <f>IFERROR(__xludf.DUMMYFUNCTION("""COMPUTED_VALUE"""),44650.66666666667)</f>
        <v>44650.66667</v>
      </c>
      <c r="B570" s="11">
        <f>IFERROR(__xludf.DUMMYFUNCTION("""COMPUTED_VALUE"""),62.21)</f>
        <v>62.21</v>
      </c>
      <c r="C570" s="12">
        <f>IFERROR(__xludf.DUMMYFUNCTION("""COMPUTED_VALUE"""),44650.66666666667)</f>
        <v>44650.66667</v>
      </c>
      <c r="D570" s="11">
        <f>IFERROR(__xludf.DUMMYFUNCTION("""COMPUTED_VALUE"""),313.86)</f>
        <v>313.86</v>
      </c>
      <c r="E570" s="12">
        <f>IFERROR(__xludf.DUMMYFUNCTION("""COMPUTED_VALUE"""),44650.66666666667)</f>
        <v>44650.66667</v>
      </c>
      <c r="F570" s="11">
        <f>IFERROR(__xludf.DUMMYFUNCTION("""COMPUTED_VALUE"""),364.66)</f>
        <v>364.66</v>
      </c>
      <c r="G570" s="12">
        <f>IFERROR(__xludf.DUMMYFUNCTION("""COMPUTED_VALUE"""),44650.66666666667)</f>
        <v>44650.66667</v>
      </c>
      <c r="H570" s="11">
        <f>IFERROR(__xludf.DUMMYFUNCTION("""COMPUTED_VALUE"""),177.77)</f>
        <v>177.77</v>
      </c>
    </row>
    <row r="571" ht="15.75" customHeight="1">
      <c r="A571" s="12">
        <f>IFERROR(__xludf.DUMMYFUNCTION("""COMPUTED_VALUE"""),44651.66666666667)</f>
        <v>44651.66667</v>
      </c>
      <c r="B571" s="11">
        <f>IFERROR(__xludf.DUMMYFUNCTION("""COMPUTED_VALUE"""),62.0)</f>
        <v>62</v>
      </c>
      <c r="C571" s="12">
        <f>IFERROR(__xludf.DUMMYFUNCTION("""COMPUTED_VALUE"""),44651.66666666667)</f>
        <v>44651.66667</v>
      </c>
      <c r="D571" s="11">
        <f>IFERROR(__xludf.DUMMYFUNCTION("""COMPUTED_VALUE"""),308.31)</f>
        <v>308.31</v>
      </c>
      <c r="E571" s="12">
        <f>IFERROR(__xludf.DUMMYFUNCTION("""COMPUTED_VALUE"""),44651.66666666667)</f>
        <v>44651.66667</v>
      </c>
      <c r="F571" s="11">
        <f>IFERROR(__xludf.DUMMYFUNCTION("""COMPUTED_VALUE"""),359.2)</f>
        <v>359.2</v>
      </c>
      <c r="G571" s="12">
        <f>IFERROR(__xludf.DUMMYFUNCTION("""COMPUTED_VALUE"""),44651.66666666667)</f>
        <v>44651.66667</v>
      </c>
      <c r="H571" s="11">
        <f>IFERROR(__xludf.DUMMYFUNCTION("""COMPUTED_VALUE"""),174.61)</f>
        <v>174.61</v>
      </c>
    </row>
    <row r="572" ht="15.75" customHeight="1">
      <c r="A572" s="12">
        <f>IFERROR(__xludf.DUMMYFUNCTION("""COMPUTED_VALUE"""),44652.66666666667)</f>
        <v>44652.66667</v>
      </c>
      <c r="B572" s="11">
        <f>IFERROR(__xludf.DUMMYFUNCTION("""COMPUTED_VALUE"""),62.87)</f>
        <v>62.87</v>
      </c>
      <c r="C572" s="12">
        <f>IFERROR(__xludf.DUMMYFUNCTION("""COMPUTED_VALUE"""),44652.66666666667)</f>
        <v>44652.66667</v>
      </c>
      <c r="D572" s="11">
        <f>IFERROR(__xludf.DUMMYFUNCTION("""COMPUTED_VALUE"""),309.42)</f>
        <v>309.42</v>
      </c>
      <c r="E572" s="12">
        <f>IFERROR(__xludf.DUMMYFUNCTION("""COMPUTED_VALUE"""),44652.66666666667)</f>
        <v>44652.66667</v>
      </c>
      <c r="F572" s="11">
        <f>IFERROR(__xludf.DUMMYFUNCTION("""COMPUTED_VALUE"""),361.53)</f>
        <v>361.53</v>
      </c>
      <c r="G572" s="12">
        <f>IFERROR(__xludf.DUMMYFUNCTION("""COMPUTED_VALUE"""),44652.66666666667)</f>
        <v>44652.66667</v>
      </c>
      <c r="H572" s="11">
        <f>IFERROR(__xludf.DUMMYFUNCTION("""COMPUTED_VALUE"""),174.31)</f>
        <v>174.31</v>
      </c>
    </row>
    <row r="573" ht="15.75" customHeight="1">
      <c r="A573" s="12">
        <f>IFERROR(__xludf.DUMMYFUNCTION("""COMPUTED_VALUE"""),44655.66666666667)</f>
        <v>44655.66667</v>
      </c>
      <c r="B573" s="11">
        <f>IFERROR(__xludf.DUMMYFUNCTION("""COMPUTED_VALUE"""),62.54)</f>
        <v>62.54</v>
      </c>
      <c r="C573" s="12">
        <f>IFERROR(__xludf.DUMMYFUNCTION("""COMPUTED_VALUE"""),44655.66666666667)</f>
        <v>44655.66667</v>
      </c>
      <c r="D573" s="11">
        <f>IFERROR(__xludf.DUMMYFUNCTION("""COMPUTED_VALUE"""),314.97)</f>
        <v>314.97</v>
      </c>
      <c r="E573" s="12">
        <f>IFERROR(__xludf.DUMMYFUNCTION("""COMPUTED_VALUE"""),44655.66666666667)</f>
        <v>44655.66667</v>
      </c>
      <c r="F573" s="11">
        <f>IFERROR(__xludf.DUMMYFUNCTION("""COMPUTED_VALUE"""),381.82)</f>
        <v>381.82</v>
      </c>
      <c r="G573" s="12">
        <f>IFERROR(__xludf.DUMMYFUNCTION("""COMPUTED_VALUE"""),44655.66666666667)</f>
        <v>44655.66667</v>
      </c>
      <c r="H573" s="11">
        <f>IFERROR(__xludf.DUMMYFUNCTION("""COMPUTED_VALUE"""),178.44)</f>
        <v>178.44</v>
      </c>
    </row>
    <row r="574" ht="15.75" customHeight="1">
      <c r="A574" s="12">
        <f>IFERROR(__xludf.DUMMYFUNCTION("""COMPUTED_VALUE"""),44656.66666666667)</f>
        <v>44656.66667</v>
      </c>
      <c r="B574" s="11">
        <f>IFERROR(__xludf.DUMMYFUNCTION("""COMPUTED_VALUE"""),62.47)</f>
        <v>62.47</v>
      </c>
      <c r="C574" s="12">
        <f>IFERROR(__xludf.DUMMYFUNCTION("""COMPUTED_VALUE"""),44656.66666666667)</f>
        <v>44656.66667</v>
      </c>
      <c r="D574" s="11">
        <f>IFERROR(__xludf.DUMMYFUNCTION("""COMPUTED_VALUE"""),310.88)</f>
        <v>310.88</v>
      </c>
      <c r="E574" s="12">
        <f>IFERROR(__xludf.DUMMYFUNCTION("""COMPUTED_VALUE"""),44656.66666666667)</f>
        <v>44656.66667</v>
      </c>
      <c r="F574" s="11">
        <f>IFERROR(__xludf.DUMMYFUNCTION("""COMPUTED_VALUE"""),363.75)</f>
        <v>363.75</v>
      </c>
      <c r="G574" s="12">
        <f>IFERROR(__xludf.DUMMYFUNCTION("""COMPUTED_VALUE"""),44656.66666666667)</f>
        <v>44656.66667</v>
      </c>
      <c r="H574" s="11">
        <f>IFERROR(__xludf.DUMMYFUNCTION("""COMPUTED_VALUE"""),175.06)</f>
        <v>175.06</v>
      </c>
    </row>
    <row r="575" ht="15.75" customHeight="1">
      <c r="A575" s="12">
        <f>IFERROR(__xludf.DUMMYFUNCTION("""COMPUTED_VALUE"""),44657.66666666667)</f>
        <v>44657.66667</v>
      </c>
      <c r="B575" s="11">
        <f>IFERROR(__xludf.DUMMYFUNCTION("""COMPUTED_VALUE"""),63.1)</f>
        <v>63.1</v>
      </c>
      <c r="C575" s="12">
        <f>IFERROR(__xludf.DUMMYFUNCTION("""COMPUTED_VALUE"""),44657.66666666667)</f>
        <v>44657.66667</v>
      </c>
      <c r="D575" s="11">
        <f>IFERROR(__xludf.DUMMYFUNCTION("""COMPUTED_VALUE"""),299.5)</f>
        <v>299.5</v>
      </c>
      <c r="E575" s="12">
        <f>IFERROR(__xludf.DUMMYFUNCTION("""COMPUTED_VALUE"""),44657.66666666667)</f>
        <v>44657.66667</v>
      </c>
      <c r="F575" s="11">
        <f>IFERROR(__xludf.DUMMYFUNCTION("""COMPUTED_VALUE"""),348.59)</f>
        <v>348.59</v>
      </c>
      <c r="G575" s="12">
        <f>IFERROR(__xludf.DUMMYFUNCTION("""COMPUTED_VALUE"""),44657.66666666667)</f>
        <v>44657.66667</v>
      </c>
      <c r="H575" s="11">
        <f>IFERROR(__xludf.DUMMYFUNCTION("""COMPUTED_VALUE"""),171.83)</f>
        <v>171.83</v>
      </c>
    </row>
    <row r="576" ht="15.75" customHeight="1">
      <c r="A576" s="12">
        <f>IFERROR(__xludf.DUMMYFUNCTION("""COMPUTED_VALUE"""),44658.66666666667)</f>
        <v>44658.66667</v>
      </c>
      <c r="B576" s="11">
        <f>IFERROR(__xludf.DUMMYFUNCTION("""COMPUTED_VALUE"""),63.44)</f>
        <v>63.44</v>
      </c>
      <c r="C576" s="12">
        <f>IFERROR(__xludf.DUMMYFUNCTION("""COMPUTED_VALUE"""),44658.66666666667)</f>
        <v>44658.66667</v>
      </c>
      <c r="D576" s="11">
        <f>IFERROR(__xludf.DUMMYFUNCTION("""COMPUTED_VALUE"""),301.37)</f>
        <v>301.37</v>
      </c>
      <c r="E576" s="12">
        <f>IFERROR(__xludf.DUMMYFUNCTION("""COMPUTED_VALUE"""),44658.66666666667)</f>
        <v>44658.66667</v>
      </c>
      <c r="F576" s="11">
        <f>IFERROR(__xludf.DUMMYFUNCTION("""COMPUTED_VALUE"""),352.42)</f>
        <v>352.42</v>
      </c>
      <c r="G576" s="12">
        <f>IFERROR(__xludf.DUMMYFUNCTION("""COMPUTED_VALUE"""),44658.66666666667)</f>
        <v>44658.66667</v>
      </c>
      <c r="H576" s="11">
        <f>IFERROR(__xludf.DUMMYFUNCTION("""COMPUTED_VALUE"""),172.14)</f>
        <v>172.14</v>
      </c>
    </row>
    <row r="577" ht="15.75" customHeight="1">
      <c r="A577" s="12">
        <f>IFERROR(__xludf.DUMMYFUNCTION("""COMPUTED_VALUE"""),44659.66666666667)</f>
        <v>44659.66667</v>
      </c>
      <c r="B577" s="11">
        <f>IFERROR(__xludf.DUMMYFUNCTION("""COMPUTED_VALUE"""),63.83)</f>
        <v>63.83</v>
      </c>
      <c r="C577" s="12">
        <f>IFERROR(__xludf.DUMMYFUNCTION("""COMPUTED_VALUE"""),44659.66666666667)</f>
        <v>44659.66667</v>
      </c>
      <c r="D577" s="11">
        <f>IFERROR(__xludf.DUMMYFUNCTION("""COMPUTED_VALUE"""),296.97)</f>
        <v>296.97</v>
      </c>
      <c r="E577" s="12">
        <f>IFERROR(__xludf.DUMMYFUNCTION("""COMPUTED_VALUE"""),44659.66666666667)</f>
        <v>44659.66667</v>
      </c>
      <c r="F577" s="11">
        <f>IFERROR(__xludf.DUMMYFUNCTION("""COMPUTED_VALUE"""),341.83)</f>
        <v>341.83</v>
      </c>
      <c r="G577" s="12">
        <f>IFERROR(__xludf.DUMMYFUNCTION("""COMPUTED_VALUE"""),44659.66666666667)</f>
        <v>44659.66667</v>
      </c>
      <c r="H577" s="11">
        <f>IFERROR(__xludf.DUMMYFUNCTION("""COMPUTED_VALUE"""),170.09)</f>
        <v>170.09</v>
      </c>
    </row>
    <row r="578" ht="15.75" customHeight="1">
      <c r="A578" s="12">
        <f>IFERROR(__xludf.DUMMYFUNCTION("""COMPUTED_VALUE"""),44662.66666666667)</f>
        <v>44662.66667</v>
      </c>
      <c r="B578" s="11">
        <f>IFERROR(__xludf.DUMMYFUNCTION("""COMPUTED_VALUE"""),63.81)</f>
        <v>63.81</v>
      </c>
      <c r="C578" s="12">
        <f>IFERROR(__xludf.DUMMYFUNCTION("""COMPUTED_VALUE"""),44662.66666666667)</f>
        <v>44662.66667</v>
      </c>
      <c r="D578" s="11">
        <f>IFERROR(__xludf.DUMMYFUNCTION("""COMPUTED_VALUE"""),285.26)</f>
        <v>285.26</v>
      </c>
      <c r="E578" s="12">
        <f>IFERROR(__xludf.DUMMYFUNCTION("""COMPUTED_VALUE"""),44662.66666666667)</f>
        <v>44662.66667</v>
      </c>
      <c r="F578" s="11">
        <f>IFERROR(__xludf.DUMMYFUNCTION("""COMPUTED_VALUE"""),325.31)</f>
        <v>325.31</v>
      </c>
      <c r="G578" s="12">
        <f>IFERROR(__xludf.DUMMYFUNCTION("""COMPUTED_VALUE"""),44662.66666666667)</f>
        <v>44662.66667</v>
      </c>
      <c r="H578" s="11">
        <f>IFERROR(__xludf.DUMMYFUNCTION("""COMPUTED_VALUE"""),165.75)</f>
        <v>165.75</v>
      </c>
    </row>
    <row r="579" ht="15.75" customHeight="1">
      <c r="A579" s="12">
        <f>IFERROR(__xludf.DUMMYFUNCTION("""COMPUTED_VALUE"""),44663.66666666667)</f>
        <v>44663.66667</v>
      </c>
      <c r="B579" s="11">
        <f>IFERROR(__xludf.DUMMYFUNCTION("""COMPUTED_VALUE"""),64.56)</f>
        <v>64.56</v>
      </c>
      <c r="C579" s="12">
        <f>IFERROR(__xludf.DUMMYFUNCTION("""COMPUTED_VALUE"""),44663.66666666667)</f>
        <v>44663.66667</v>
      </c>
      <c r="D579" s="11">
        <f>IFERROR(__xludf.DUMMYFUNCTION("""COMPUTED_VALUE"""),282.06)</f>
        <v>282.06</v>
      </c>
      <c r="E579" s="12">
        <f>IFERROR(__xludf.DUMMYFUNCTION("""COMPUTED_VALUE"""),44663.66666666667)</f>
        <v>44663.66667</v>
      </c>
      <c r="F579" s="11">
        <f>IFERROR(__xludf.DUMMYFUNCTION("""COMPUTED_VALUE"""),328.98)</f>
        <v>328.98</v>
      </c>
      <c r="G579" s="12">
        <f>IFERROR(__xludf.DUMMYFUNCTION("""COMPUTED_VALUE"""),44663.66666666667)</f>
        <v>44663.66667</v>
      </c>
      <c r="H579" s="11">
        <f>IFERROR(__xludf.DUMMYFUNCTION("""COMPUTED_VALUE"""),167.66)</f>
        <v>167.66</v>
      </c>
    </row>
    <row r="580" ht="15.75" customHeight="1">
      <c r="A580" s="12">
        <f>IFERROR(__xludf.DUMMYFUNCTION("""COMPUTED_VALUE"""),44664.66666666667)</f>
        <v>44664.66667</v>
      </c>
      <c r="B580" s="11">
        <f>IFERROR(__xludf.DUMMYFUNCTION("""COMPUTED_VALUE"""),64.73)</f>
        <v>64.73</v>
      </c>
      <c r="C580" s="12">
        <f>IFERROR(__xludf.DUMMYFUNCTION("""COMPUTED_VALUE"""),44664.66666666667)</f>
        <v>44664.66667</v>
      </c>
      <c r="D580" s="11">
        <f>IFERROR(__xludf.DUMMYFUNCTION("""COMPUTED_VALUE"""),287.62)</f>
        <v>287.62</v>
      </c>
      <c r="E580" s="12">
        <f>IFERROR(__xludf.DUMMYFUNCTION("""COMPUTED_VALUE"""),44664.66666666667)</f>
        <v>44664.66667</v>
      </c>
      <c r="F580" s="11">
        <f>IFERROR(__xludf.DUMMYFUNCTION("""COMPUTED_VALUE"""),340.79)</f>
        <v>340.79</v>
      </c>
      <c r="G580" s="12">
        <f>IFERROR(__xludf.DUMMYFUNCTION("""COMPUTED_VALUE"""),44664.66666666667)</f>
        <v>44664.66667</v>
      </c>
      <c r="H580" s="11">
        <f>IFERROR(__xludf.DUMMYFUNCTION("""COMPUTED_VALUE"""),170.4)</f>
        <v>170.4</v>
      </c>
    </row>
    <row r="581" ht="15.75" customHeight="1">
      <c r="A581" s="12">
        <f>IFERROR(__xludf.DUMMYFUNCTION("""COMPUTED_VALUE"""),44665.66666666667)</f>
        <v>44665.66667</v>
      </c>
      <c r="B581" s="11">
        <f>IFERROR(__xludf.DUMMYFUNCTION("""COMPUTED_VALUE"""),65.02)</f>
        <v>65.02</v>
      </c>
      <c r="C581" s="12">
        <f>IFERROR(__xludf.DUMMYFUNCTION("""COMPUTED_VALUE"""),44665.66666666667)</f>
        <v>44665.66667</v>
      </c>
      <c r="D581" s="11">
        <f>IFERROR(__xludf.DUMMYFUNCTION("""COMPUTED_VALUE"""),279.83)</f>
        <v>279.83</v>
      </c>
      <c r="E581" s="12">
        <f>IFERROR(__xludf.DUMMYFUNCTION("""COMPUTED_VALUE"""),44665.66666666667)</f>
        <v>44665.66667</v>
      </c>
      <c r="F581" s="11">
        <f>IFERROR(__xludf.DUMMYFUNCTION("""COMPUTED_VALUE"""),328.33)</f>
        <v>328.33</v>
      </c>
      <c r="G581" s="12">
        <f>IFERROR(__xludf.DUMMYFUNCTION("""COMPUTED_VALUE"""),44665.66666666667)</f>
        <v>44665.66667</v>
      </c>
      <c r="H581" s="11">
        <f>IFERROR(__xludf.DUMMYFUNCTION("""COMPUTED_VALUE"""),165.29)</f>
        <v>165.29</v>
      </c>
    </row>
    <row r="582" ht="15.75" customHeight="1">
      <c r="A582" s="12">
        <f>IFERROR(__xludf.DUMMYFUNCTION("""COMPUTED_VALUE"""),44669.66666666667)</f>
        <v>44669.66667</v>
      </c>
      <c r="B582" s="11">
        <f>IFERROR(__xludf.DUMMYFUNCTION("""COMPUTED_VALUE"""),64.44)</f>
        <v>64.44</v>
      </c>
      <c r="C582" s="12">
        <f>IFERROR(__xludf.DUMMYFUNCTION("""COMPUTED_VALUE"""),44669.66666666667)</f>
        <v>44669.66667</v>
      </c>
      <c r="D582" s="11">
        <f>IFERROR(__xludf.DUMMYFUNCTION("""COMPUTED_VALUE"""),280.52)</f>
        <v>280.52</v>
      </c>
      <c r="E582" s="12">
        <f>IFERROR(__xludf.DUMMYFUNCTION("""COMPUTED_VALUE"""),44669.66666666667)</f>
        <v>44669.66667</v>
      </c>
      <c r="F582" s="11">
        <f>IFERROR(__xludf.DUMMYFUNCTION("""COMPUTED_VALUE"""),334.76)</f>
        <v>334.76</v>
      </c>
      <c r="G582" s="12">
        <f>IFERROR(__xludf.DUMMYFUNCTION("""COMPUTED_VALUE"""),44669.66666666667)</f>
        <v>44669.66667</v>
      </c>
      <c r="H582" s="11">
        <f>IFERROR(__xludf.DUMMYFUNCTION("""COMPUTED_VALUE"""),165.07)</f>
        <v>165.07</v>
      </c>
    </row>
    <row r="583" ht="15.75" customHeight="1">
      <c r="A583" s="12">
        <f>IFERROR(__xludf.DUMMYFUNCTION("""COMPUTED_VALUE"""),44670.66666666667)</f>
        <v>44670.66667</v>
      </c>
      <c r="B583" s="11">
        <f>IFERROR(__xludf.DUMMYFUNCTION("""COMPUTED_VALUE"""),65.07)</f>
        <v>65.07</v>
      </c>
      <c r="C583" s="12">
        <f>IFERROR(__xludf.DUMMYFUNCTION("""COMPUTED_VALUE"""),44670.66666666667)</f>
        <v>44670.66667</v>
      </c>
      <c r="D583" s="11">
        <f>IFERROR(__xludf.DUMMYFUNCTION("""COMPUTED_VALUE"""),285.3)</f>
        <v>285.3</v>
      </c>
      <c r="E583" s="12">
        <f>IFERROR(__xludf.DUMMYFUNCTION("""COMPUTED_VALUE"""),44670.66666666667)</f>
        <v>44670.66667</v>
      </c>
      <c r="F583" s="11">
        <f>IFERROR(__xludf.DUMMYFUNCTION("""COMPUTED_VALUE"""),342.72)</f>
        <v>342.72</v>
      </c>
      <c r="G583" s="12">
        <f>IFERROR(__xludf.DUMMYFUNCTION("""COMPUTED_VALUE"""),44670.66666666667)</f>
        <v>44670.66667</v>
      </c>
      <c r="H583" s="11">
        <f>IFERROR(__xludf.DUMMYFUNCTION("""COMPUTED_VALUE"""),167.4)</f>
        <v>167.4</v>
      </c>
    </row>
    <row r="584" ht="15.75" customHeight="1">
      <c r="A584" s="12">
        <f>IFERROR(__xludf.DUMMYFUNCTION("""COMPUTED_VALUE"""),44671.66666666667)</f>
        <v>44671.66667</v>
      </c>
      <c r="B584" s="11">
        <f>IFERROR(__xludf.DUMMYFUNCTION("""COMPUTED_VALUE"""),65.96)</f>
        <v>65.96</v>
      </c>
      <c r="C584" s="12">
        <f>IFERROR(__xludf.DUMMYFUNCTION("""COMPUTED_VALUE"""),44671.66666666667)</f>
        <v>44671.66667</v>
      </c>
      <c r="D584" s="11">
        <f>IFERROR(__xludf.DUMMYFUNCTION("""COMPUTED_VALUE"""),286.36)</f>
        <v>286.36</v>
      </c>
      <c r="E584" s="12">
        <f>IFERROR(__xludf.DUMMYFUNCTION("""COMPUTED_VALUE"""),44671.66666666667)</f>
        <v>44671.66667</v>
      </c>
      <c r="F584" s="11">
        <f>IFERROR(__xludf.DUMMYFUNCTION("""COMPUTED_VALUE"""),325.73)</f>
        <v>325.73</v>
      </c>
      <c r="G584" s="12">
        <f>IFERROR(__xludf.DUMMYFUNCTION("""COMPUTED_VALUE"""),44671.66666666667)</f>
        <v>44671.66667</v>
      </c>
      <c r="H584" s="11">
        <f>IFERROR(__xludf.DUMMYFUNCTION("""COMPUTED_VALUE"""),167.23)</f>
        <v>167.23</v>
      </c>
    </row>
    <row r="585" ht="15.75" customHeight="1">
      <c r="A585" s="12">
        <f>IFERROR(__xludf.DUMMYFUNCTION("""COMPUTED_VALUE"""),44672.66666666667)</f>
        <v>44672.66667</v>
      </c>
      <c r="B585" s="11">
        <f>IFERROR(__xludf.DUMMYFUNCTION("""COMPUTED_VALUE"""),66.21)</f>
        <v>66.21</v>
      </c>
      <c r="C585" s="12">
        <f>IFERROR(__xludf.DUMMYFUNCTION("""COMPUTED_VALUE"""),44672.66666666667)</f>
        <v>44672.66667</v>
      </c>
      <c r="D585" s="11">
        <f>IFERROR(__xludf.DUMMYFUNCTION("""COMPUTED_VALUE"""),280.81)</f>
        <v>280.81</v>
      </c>
      <c r="E585" s="12">
        <f>IFERROR(__xludf.DUMMYFUNCTION("""COMPUTED_VALUE"""),44672.66666666667)</f>
        <v>44672.66667</v>
      </c>
      <c r="F585" s="11">
        <f>IFERROR(__xludf.DUMMYFUNCTION("""COMPUTED_VALUE"""),336.26)</f>
        <v>336.26</v>
      </c>
      <c r="G585" s="12">
        <f>IFERROR(__xludf.DUMMYFUNCTION("""COMPUTED_VALUE"""),44672.66666666667)</f>
        <v>44672.66667</v>
      </c>
      <c r="H585" s="11">
        <f>IFERROR(__xludf.DUMMYFUNCTION("""COMPUTED_VALUE"""),166.42)</f>
        <v>166.42</v>
      </c>
    </row>
    <row r="586" ht="15.75" customHeight="1">
      <c r="A586" s="12">
        <f>IFERROR(__xludf.DUMMYFUNCTION("""COMPUTED_VALUE"""),44673.66666666667)</f>
        <v>44673.66667</v>
      </c>
      <c r="B586" s="11">
        <f>IFERROR(__xludf.DUMMYFUNCTION("""COMPUTED_VALUE"""),65.25)</f>
        <v>65.25</v>
      </c>
      <c r="C586" s="12">
        <f>IFERROR(__xludf.DUMMYFUNCTION("""COMPUTED_VALUE"""),44673.66666666667)</f>
        <v>44673.66667</v>
      </c>
      <c r="D586" s="11">
        <f>IFERROR(__xludf.DUMMYFUNCTION("""COMPUTED_VALUE"""),274.03)</f>
        <v>274.03</v>
      </c>
      <c r="E586" s="12">
        <f>IFERROR(__xludf.DUMMYFUNCTION("""COMPUTED_VALUE"""),44673.66666666667)</f>
        <v>44673.66667</v>
      </c>
      <c r="F586" s="11">
        <f>IFERROR(__xludf.DUMMYFUNCTION("""COMPUTED_VALUE"""),335.02)</f>
        <v>335.02</v>
      </c>
      <c r="G586" s="12">
        <f>IFERROR(__xludf.DUMMYFUNCTION("""COMPUTED_VALUE"""),44673.66666666667)</f>
        <v>44673.66667</v>
      </c>
      <c r="H586" s="11">
        <f>IFERROR(__xludf.DUMMYFUNCTION("""COMPUTED_VALUE"""),161.79)</f>
        <v>161.79</v>
      </c>
    </row>
    <row r="587" ht="15.75" customHeight="1">
      <c r="A587" s="12">
        <f>IFERROR(__xludf.DUMMYFUNCTION("""COMPUTED_VALUE"""),44676.66666666667)</f>
        <v>44676.66667</v>
      </c>
      <c r="B587" s="11">
        <f>IFERROR(__xludf.DUMMYFUNCTION("""COMPUTED_VALUE"""),65.94)</f>
        <v>65.94</v>
      </c>
      <c r="C587" s="12">
        <f>IFERROR(__xludf.DUMMYFUNCTION("""COMPUTED_VALUE"""),44676.66666666667)</f>
        <v>44676.66667</v>
      </c>
      <c r="D587" s="11">
        <f>IFERROR(__xludf.DUMMYFUNCTION("""COMPUTED_VALUE"""),280.72)</f>
        <v>280.72</v>
      </c>
      <c r="E587" s="12">
        <f>IFERROR(__xludf.DUMMYFUNCTION("""COMPUTED_VALUE"""),44676.66666666667)</f>
        <v>44676.66667</v>
      </c>
      <c r="F587" s="11">
        <f>IFERROR(__xludf.DUMMYFUNCTION("""COMPUTED_VALUE"""),332.67)</f>
        <v>332.67</v>
      </c>
      <c r="G587" s="12">
        <f>IFERROR(__xludf.DUMMYFUNCTION("""COMPUTED_VALUE"""),44676.66666666667)</f>
        <v>44676.66667</v>
      </c>
      <c r="H587" s="11">
        <f>IFERROR(__xludf.DUMMYFUNCTION("""COMPUTED_VALUE"""),162.88)</f>
        <v>162.88</v>
      </c>
    </row>
    <row r="588" ht="15.75" customHeight="1">
      <c r="A588" s="12">
        <f>IFERROR(__xludf.DUMMYFUNCTION("""COMPUTED_VALUE"""),44677.66666666667)</f>
        <v>44677.66667</v>
      </c>
      <c r="B588" s="11">
        <f>IFERROR(__xludf.DUMMYFUNCTION("""COMPUTED_VALUE"""),65.05)</f>
        <v>65.05</v>
      </c>
      <c r="C588" s="12">
        <f>IFERROR(__xludf.DUMMYFUNCTION("""COMPUTED_VALUE"""),44677.66666666667)</f>
        <v>44677.66667</v>
      </c>
      <c r="D588" s="11">
        <f>IFERROR(__xludf.DUMMYFUNCTION("""COMPUTED_VALUE"""),270.22)</f>
        <v>270.22</v>
      </c>
      <c r="E588" s="12">
        <f>IFERROR(__xludf.DUMMYFUNCTION("""COMPUTED_VALUE"""),44677.66666666667)</f>
        <v>44677.66667</v>
      </c>
      <c r="F588" s="11">
        <f>IFERROR(__xludf.DUMMYFUNCTION("""COMPUTED_VALUE"""),292.14)</f>
        <v>292.14</v>
      </c>
      <c r="G588" s="12">
        <f>IFERROR(__xludf.DUMMYFUNCTION("""COMPUTED_VALUE"""),44677.66666666667)</f>
        <v>44677.66667</v>
      </c>
      <c r="H588" s="11">
        <f>IFERROR(__xludf.DUMMYFUNCTION("""COMPUTED_VALUE"""),156.8)</f>
        <v>156.8</v>
      </c>
    </row>
    <row r="589" ht="15.75" customHeight="1">
      <c r="A589" s="12">
        <f>IFERROR(__xludf.DUMMYFUNCTION("""COMPUTED_VALUE"""),44678.66666666667)</f>
        <v>44678.66667</v>
      </c>
      <c r="B589" s="11">
        <f>IFERROR(__xludf.DUMMYFUNCTION("""COMPUTED_VALUE"""),65.56)</f>
        <v>65.56</v>
      </c>
      <c r="C589" s="12">
        <f>IFERROR(__xludf.DUMMYFUNCTION("""COMPUTED_VALUE"""),44678.66666666667)</f>
        <v>44678.66667</v>
      </c>
      <c r="D589" s="11">
        <f>IFERROR(__xludf.DUMMYFUNCTION("""COMPUTED_VALUE"""),283.22)</f>
        <v>283.22</v>
      </c>
      <c r="E589" s="12">
        <f>IFERROR(__xludf.DUMMYFUNCTION("""COMPUTED_VALUE"""),44678.66666666667)</f>
        <v>44678.66667</v>
      </c>
      <c r="F589" s="11">
        <f>IFERROR(__xludf.DUMMYFUNCTION("""COMPUTED_VALUE"""),293.84)</f>
        <v>293.84</v>
      </c>
      <c r="G589" s="12">
        <f>IFERROR(__xludf.DUMMYFUNCTION("""COMPUTED_VALUE"""),44678.66666666667)</f>
        <v>44678.66667</v>
      </c>
      <c r="H589" s="11">
        <f>IFERROR(__xludf.DUMMYFUNCTION("""COMPUTED_VALUE"""),156.57)</f>
        <v>156.57</v>
      </c>
    </row>
    <row r="590" ht="15.75" customHeight="1">
      <c r="A590" s="12">
        <f>IFERROR(__xludf.DUMMYFUNCTION("""COMPUTED_VALUE"""),44679.66666666667)</f>
        <v>44679.66667</v>
      </c>
      <c r="B590" s="11">
        <f>IFERROR(__xludf.DUMMYFUNCTION("""COMPUTED_VALUE"""),66.19)</f>
        <v>66.19</v>
      </c>
      <c r="C590" s="12">
        <f>IFERROR(__xludf.DUMMYFUNCTION("""COMPUTED_VALUE"""),44679.66666666667)</f>
        <v>44679.66667</v>
      </c>
      <c r="D590" s="11">
        <f>IFERROR(__xludf.DUMMYFUNCTION("""COMPUTED_VALUE"""),289.63)</f>
        <v>289.63</v>
      </c>
      <c r="E590" s="12">
        <f>IFERROR(__xludf.DUMMYFUNCTION("""COMPUTED_VALUE"""),44679.66666666667)</f>
        <v>44679.66667</v>
      </c>
      <c r="F590" s="11">
        <f>IFERROR(__xludf.DUMMYFUNCTION("""COMPUTED_VALUE"""),292.5)</f>
        <v>292.5</v>
      </c>
      <c r="G590" s="12">
        <f>IFERROR(__xludf.DUMMYFUNCTION("""COMPUTED_VALUE"""),44679.66666666667)</f>
        <v>44679.66667</v>
      </c>
      <c r="H590" s="11">
        <f>IFERROR(__xludf.DUMMYFUNCTION("""COMPUTED_VALUE"""),163.64)</f>
        <v>163.64</v>
      </c>
    </row>
    <row r="591" ht="15.75" customHeight="1">
      <c r="A591" s="12">
        <f>IFERROR(__xludf.DUMMYFUNCTION("""COMPUTED_VALUE"""),44680.66666666667)</f>
        <v>44680.66667</v>
      </c>
      <c r="B591" s="11">
        <f>IFERROR(__xludf.DUMMYFUNCTION("""COMPUTED_VALUE"""),64.61)</f>
        <v>64.61</v>
      </c>
      <c r="C591" s="12">
        <f>IFERROR(__xludf.DUMMYFUNCTION("""COMPUTED_VALUE"""),44680.66666666667)</f>
        <v>44680.66667</v>
      </c>
      <c r="D591" s="11">
        <f>IFERROR(__xludf.DUMMYFUNCTION("""COMPUTED_VALUE"""),277.52)</f>
        <v>277.52</v>
      </c>
      <c r="E591" s="12">
        <f>IFERROR(__xludf.DUMMYFUNCTION("""COMPUTED_VALUE"""),44680.66666666667)</f>
        <v>44680.66667</v>
      </c>
      <c r="F591" s="11">
        <f>IFERROR(__xludf.DUMMYFUNCTION("""COMPUTED_VALUE"""),290.25)</f>
        <v>290.25</v>
      </c>
      <c r="G591" s="12">
        <f>IFERROR(__xludf.DUMMYFUNCTION("""COMPUTED_VALUE"""),44680.66666666667)</f>
        <v>44680.66667</v>
      </c>
      <c r="H591" s="11">
        <f>IFERROR(__xludf.DUMMYFUNCTION("""COMPUTED_VALUE"""),157.65)</f>
        <v>157.65</v>
      </c>
    </row>
    <row r="592" ht="15.75" customHeight="1">
      <c r="A592" s="12">
        <f>IFERROR(__xludf.DUMMYFUNCTION("""COMPUTED_VALUE"""),44683.66666666667)</f>
        <v>44683.66667</v>
      </c>
      <c r="B592" s="11">
        <f>IFERROR(__xludf.DUMMYFUNCTION("""COMPUTED_VALUE"""),63.44)</f>
        <v>63.44</v>
      </c>
      <c r="C592" s="12">
        <f>IFERROR(__xludf.DUMMYFUNCTION("""COMPUTED_VALUE"""),44683.66666666667)</f>
        <v>44683.66667</v>
      </c>
      <c r="D592" s="11">
        <f>IFERROR(__xludf.DUMMYFUNCTION("""COMPUTED_VALUE"""),284.47)</f>
        <v>284.47</v>
      </c>
      <c r="E592" s="12">
        <f>IFERROR(__xludf.DUMMYFUNCTION("""COMPUTED_VALUE"""),44683.66666666667)</f>
        <v>44683.66667</v>
      </c>
      <c r="F592" s="11">
        <f>IFERROR(__xludf.DUMMYFUNCTION("""COMPUTED_VALUE"""),300.98)</f>
        <v>300.98</v>
      </c>
      <c r="G592" s="12">
        <f>IFERROR(__xludf.DUMMYFUNCTION("""COMPUTED_VALUE"""),44683.66666666667)</f>
        <v>44683.66667</v>
      </c>
      <c r="H592" s="11">
        <f>IFERROR(__xludf.DUMMYFUNCTION("""COMPUTED_VALUE"""),157.96)</f>
        <v>157.96</v>
      </c>
    </row>
    <row r="593" ht="15.75" customHeight="1">
      <c r="A593" s="12">
        <f>IFERROR(__xludf.DUMMYFUNCTION("""COMPUTED_VALUE"""),44684.66666666667)</f>
        <v>44684.66667</v>
      </c>
      <c r="B593" s="11">
        <f>IFERROR(__xludf.DUMMYFUNCTION("""COMPUTED_VALUE"""),63.08)</f>
        <v>63.08</v>
      </c>
      <c r="C593" s="12">
        <f>IFERROR(__xludf.DUMMYFUNCTION("""COMPUTED_VALUE"""),44684.66666666667)</f>
        <v>44684.66667</v>
      </c>
      <c r="D593" s="11">
        <f>IFERROR(__xludf.DUMMYFUNCTION("""COMPUTED_VALUE"""),281.78)</f>
        <v>281.78</v>
      </c>
      <c r="E593" s="12">
        <f>IFERROR(__xludf.DUMMYFUNCTION("""COMPUTED_VALUE"""),44684.66666666667)</f>
        <v>44684.66667</v>
      </c>
      <c r="F593" s="11">
        <f>IFERROR(__xludf.DUMMYFUNCTION("""COMPUTED_VALUE"""),303.08)</f>
        <v>303.08</v>
      </c>
      <c r="G593" s="12">
        <f>IFERROR(__xludf.DUMMYFUNCTION("""COMPUTED_VALUE"""),44684.66666666667)</f>
        <v>44684.66667</v>
      </c>
      <c r="H593" s="11">
        <f>IFERROR(__xludf.DUMMYFUNCTION("""COMPUTED_VALUE"""),159.48)</f>
        <v>159.48</v>
      </c>
    </row>
    <row r="594" ht="15.75" customHeight="1">
      <c r="A594" s="12">
        <f>IFERROR(__xludf.DUMMYFUNCTION("""COMPUTED_VALUE"""),44685.66666666667)</f>
        <v>44685.66667</v>
      </c>
      <c r="B594" s="11">
        <f>IFERROR(__xludf.DUMMYFUNCTION("""COMPUTED_VALUE"""),65.03)</f>
        <v>65.03</v>
      </c>
      <c r="C594" s="12">
        <f>IFERROR(__xludf.DUMMYFUNCTION("""COMPUTED_VALUE"""),44685.66666666667)</f>
        <v>44685.66667</v>
      </c>
      <c r="D594" s="11">
        <f>IFERROR(__xludf.DUMMYFUNCTION("""COMPUTED_VALUE"""),289.98)</f>
        <v>289.98</v>
      </c>
      <c r="E594" s="12">
        <f>IFERROR(__xludf.DUMMYFUNCTION("""COMPUTED_VALUE"""),44685.66666666667)</f>
        <v>44685.66667</v>
      </c>
      <c r="F594" s="11">
        <f>IFERROR(__xludf.DUMMYFUNCTION("""COMPUTED_VALUE"""),317.54)</f>
        <v>317.54</v>
      </c>
      <c r="G594" s="12">
        <f>IFERROR(__xludf.DUMMYFUNCTION("""COMPUTED_VALUE"""),44685.66666666667)</f>
        <v>44685.66667</v>
      </c>
      <c r="H594" s="11">
        <f>IFERROR(__xludf.DUMMYFUNCTION("""COMPUTED_VALUE"""),166.02)</f>
        <v>166.02</v>
      </c>
    </row>
    <row r="595" ht="15.75" customHeight="1">
      <c r="A595" s="12">
        <f>IFERROR(__xludf.DUMMYFUNCTION("""COMPUTED_VALUE"""),44686.66666666667)</f>
        <v>44686.66667</v>
      </c>
      <c r="B595" s="11">
        <f>IFERROR(__xludf.DUMMYFUNCTION("""COMPUTED_VALUE"""),64.51)</f>
        <v>64.51</v>
      </c>
      <c r="C595" s="12">
        <f>IFERROR(__xludf.DUMMYFUNCTION("""COMPUTED_VALUE"""),44686.66666666667)</f>
        <v>44686.66667</v>
      </c>
      <c r="D595" s="11">
        <f>IFERROR(__xludf.DUMMYFUNCTION("""COMPUTED_VALUE"""),277.35)</f>
        <v>277.35</v>
      </c>
      <c r="E595" s="12">
        <f>IFERROR(__xludf.DUMMYFUNCTION("""COMPUTED_VALUE"""),44686.66666666667)</f>
        <v>44686.66667</v>
      </c>
      <c r="F595" s="11">
        <f>IFERROR(__xludf.DUMMYFUNCTION("""COMPUTED_VALUE"""),291.09)</f>
        <v>291.09</v>
      </c>
      <c r="G595" s="12">
        <f>IFERROR(__xludf.DUMMYFUNCTION("""COMPUTED_VALUE"""),44686.66666666667)</f>
        <v>44686.66667</v>
      </c>
      <c r="H595" s="11">
        <f>IFERROR(__xludf.DUMMYFUNCTION("""COMPUTED_VALUE"""),156.77)</f>
        <v>156.77</v>
      </c>
    </row>
    <row r="596" ht="15.75" customHeight="1">
      <c r="A596" s="12">
        <f>IFERROR(__xludf.DUMMYFUNCTION("""COMPUTED_VALUE"""),44687.66666666667)</f>
        <v>44687.66667</v>
      </c>
      <c r="B596" s="11">
        <f>IFERROR(__xludf.DUMMYFUNCTION("""COMPUTED_VALUE"""),64.74)</f>
        <v>64.74</v>
      </c>
      <c r="C596" s="12">
        <f>IFERROR(__xludf.DUMMYFUNCTION("""COMPUTED_VALUE"""),44687.66666666667)</f>
        <v>44687.66667</v>
      </c>
      <c r="D596" s="11">
        <f>IFERROR(__xludf.DUMMYFUNCTION("""COMPUTED_VALUE"""),274.73)</f>
        <v>274.73</v>
      </c>
      <c r="E596" s="12">
        <f>IFERROR(__xludf.DUMMYFUNCTION("""COMPUTED_VALUE"""),44687.66666666667)</f>
        <v>44687.66667</v>
      </c>
      <c r="F596" s="11">
        <f>IFERROR(__xludf.DUMMYFUNCTION("""COMPUTED_VALUE"""),288.55)</f>
        <v>288.55</v>
      </c>
      <c r="G596" s="12">
        <f>IFERROR(__xludf.DUMMYFUNCTION("""COMPUTED_VALUE"""),44687.66666666667)</f>
        <v>44687.66667</v>
      </c>
      <c r="H596" s="11">
        <f>IFERROR(__xludf.DUMMYFUNCTION("""COMPUTED_VALUE"""),157.28)</f>
        <v>157.28</v>
      </c>
    </row>
    <row r="597" ht="15.75" customHeight="1">
      <c r="A597" s="12">
        <f>IFERROR(__xludf.DUMMYFUNCTION("""COMPUTED_VALUE"""),44690.66666666667)</f>
        <v>44690.66667</v>
      </c>
      <c r="B597" s="11">
        <f>IFERROR(__xludf.DUMMYFUNCTION("""COMPUTED_VALUE"""),64.61)</f>
        <v>64.61</v>
      </c>
      <c r="C597" s="12">
        <f>IFERROR(__xludf.DUMMYFUNCTION("""COMPUTED_VALUE"""),44690.66666666667)</f>
        <v>44690.66667</v>
      </c>
      <c r="D597" s="11">
        <f>IFERROR(__xludf.DUMMYFUNCTION("""COMPUTED_VALUE"""),264.58)</f>
        <v>264.58</v>
      </c>
      <c r="E597" s="12">
        <f>IFERROR(__xludf.DUMMYFUNCTION("""COMPUTED_VALUE"""),44690.66666666667)</f>
        <v>44690.66667</v>
      </c>
      <c r="F597" s="11">
        <f>IFERROR(__xludf.DUMMYFUNCTION("""COMPUTED_VALUE"""),262.37)</f>
        <v>262.37</v>
      </c>
      <c r="G597" s="12">
        <f>IFERROR(__xludf.DUMMYFUNCTION("""COMPUTED_VALUE"""),44690.66666666667)</f>
        <v>44690.66667</v>
      </c>
      <c r="H597" s="11">
        <f>IFERROR(__xludf.DUMMYFUNCTION("""COMPUTED_VALUE"""),152.06)</f>
        <v>152.06</v>
      </c>
    </row>
    <row r="598" ht="15.75" customHeight="1">
      <c r="A598" s="12">
        <f>IFERROR(__xludf.DUMMYFUNCTION("""COMPUTED_VALUE"""),44691.66666666667)</f>
        <v>44691.66667</v>
      </c>
      <c r="B598" s="11">
        <f>IFERROR(__xludf.DUMMYFUNCTION("""COMPUTED_VALUE"""),64.01)</f>
        <v>64.01</v>
      </c>
      <c r="C598" s="12">
        <f>IFERROR(__xludf.DUMMYFUNCTION("""COMPUTED_VALUE"""),44691.66666666667)</f>
        <v>44691.66667</v>
      </c>
      <c r="D598" s="11">
        <f>IFERROR(__xludf.DUMMYFUNCTION("""COMPUTED_VALUE"""),269.5)</f>
        <v>269.5</v>
      </c>
      <c r="E598" s="12">
        <f>IFERROR(__xludf.DUMMYFUNCTION("""COMPUTED_VALUE"""),44691.66666666667)</f>
        <v>44691.66667</v>
      </c>
      <c r="F598" s="11">
        <f>IFERROR(__xludf.DUMMYFUNCTION("""COMPUTED_VALUE"""),266.68)</f>
        <v>266.68</v>
      </c>
      <c r="G598" s="12">
        <f>IFERROR(__xludf.DUMMYFUNCTION("""COMPUTED_VALUE"""),44691.66666666667)</f>
        <v>44691.66667</v>
      </c>
      <c r="H598" s="11">
        <f>IFERROR(__xludf.DUMMYFUNCTION("""COMPUTED_VALUE"""),154.51)</f>
        <v>154.51</v>
      </c>
    </row>
    <row r="599" ht="15.75" customHeight="1">
      <c r="A599" s="12">
        <f>IFERROR(__xludf.DUMMYFUNCTION("""COMPUTED_VALUE"""),44692.66666666667)</f>
        <v>44692.66667</v>
      </c>
      <c r="B599" s="11">
        <f>IFERROR(__xludf.DUMMYFUNCTION("""COMPUTED_VALUE"""),64.31)</f>
        <v>64.31</v>
      </c>
      <c r="C599" s="12">
        <f>IFERROR(__xludf.DUMMYFUNCTION("""COMPUTED_VALUE"""),44692.66666666667)</f>
        <v>44692.66667</v>
      </c>
      <c r="D599" s="11">
        <f>IFERROR(__xludf.DUMMYFUNCTION("""COMPUTED_VALUE"""),260.55)</f>
        <v>260.55</v>
      </c>
      <c r="E599" s="12">
        <f>IFERROR(__xludf.DUMMYFUNCTION("""COMPUTED_VALUE"""),44692.66666666667)</f>
        <v>44692.66667</v>
      </c>
      <c r="F599" s="11">
        <f>IFERROR(__xludf.DUMMYFUNCTION("""COMPUTED_VALUE"""),244.67)</f>
        <v>244.67</v>
      </c>
      <c r="G599" s="12">
        <f>IFERROR(__xludf.DUMMYFUNCTION("""COMPUTED_VALUE"""),44692.66666666667)</f>
        <v>44692.66667</v>
      </c>
      <c r="H599" s="11">
        <f>IFERROR(__xludf.DUMMYFUNCTION("""COMPUTED_VALUE"""),146.5)</f>
        <v>146.5</v>
      </c>
    </row>
    <row r="600" ht="15.75" customHeight="1">
      <c r="A600" s="12">
        <f>IFERROR(__xludf.DUMMYFUNCTION("""COMPUTED_VALUE"""),44693.66666666667)</f>
        <v>44693.66667</v>
      </c>
      <c r="B600" s="11">
        <f>IFERROR(__xludf.DUMMYFUNCTION("""COMPUTED_VALUE"""),64.51)</f>
        <v>64.51</v>
      </c>
      <c r="C600" s="12">
        <f>IFERROR(__xludf.DUMMYFUNCTION("""COMPUTED_VALUE"""),44693.66666666667)</f>
        <v>44693.66667</v>
      </c>
      <c r="D600" s="11">
        <f>IFERROR(__xludf.DUMMYFUNCTION("""COMPUTED_VALUE"""),255.35)</f>
        <v>255.35</v>
      </c>
      <c r="E600" s="12">
        <f>IFERROR(__xludf.DUMMYFUNCTION("""COMPUTED_VALUE"""),44693.66666666667)</f>
        <v>44693.66667</v>
      </c>
      <c r="F600" s="11">
        <f>IFERROR(__xludf.DUMMYFUNCTION("""COMPUTED_VALUE"""),242.67)</f>
        <v>242.67</v>
      </c>
      <c r="G600" s="12">
        <f>IFERROR(__xludf.DUMMYFUNCTION("""COMPUTED_VALUE"""),44693.66666666667)</f>
        <v>44693.66667</v>
      </c>
      <c r="H600" s="11">
        <f>IFERROR(__xludf.DUMMYFUNCTION("""COMPUTED_VALUE"""),142.56)</f>
        <v>142.56</v>
      </c>
    </row>
    <row r="601" ht="15.75" customHeight="1">
      <c r="A601" s="12">
        <f>IFERROR(__xludf.DUMMYFUNCTION("""COMPUTED_VALUE"""),44694.66666666667)</f>
        <v>44694.66667</v>
      </c>
      <c r="B601" s="11">
        <f>IFERROR(__xludf.DUMMYFUNCTION("""COMPUTED_VALUE"""),65.72)</f>
        <v>65.72</v>
      </c>
      <c r="C601" s="12">
        <f>IFERROR(__xludf.DUMMYFUNCTION("""COMPUTED_VALUE"""),44694.66666666667)</f>
        <v>44694.66667</v>
      </c>
      <c r="D601" s="11">
        <f>IFERROR(__xludf.DUMMYFUNCTION("""COMPUTED_VALUE"""),261.12)</f>
        <v>261.12</v>
      </c>
      <c r="E601" s="12">
        <f>IFERROR(__xludf.DUMMYFUNCTION("""COMPUTED_VALUE"""),44694.66666666667)</f>
        <v>44694.66667</v>
      </c>
      <c r="F601" s="11">
        <f>IFERROR(__xludf.DUMMYFUNCTION("""COMPUTED_VALUE"""),256.53)</f>
        <v>256.53</v>
      </c>
      <c r="G601" s="12">
        <f>IFERROR(__xludf.DUMMYFUNCTION("""COMPUTED_VALUE"""),44694.66666666667)</f>
        <v>44694.66667</v>
      </c>
      <c r="H601" s="11">
        <f>IFERROR(__xludf.DUMMYFUNCTION("""COMPUTED_VALUE"""),147.11)</f>
        <v>147.11</v>
      </c>
    </row>
    <row r="602" ht="15.75" customHeight="1">
      <c r="A602" s="12">
        <f>IFERROR(__xludf.DUMMYFUNCTION("""COMPUTED_VALUE"""),44697.66666666667)</f>
        <v>44697.66667</v>
      </c>
      <c r="B602" s="11">
        <f>IFERROR(__xludf.DUMMYFUNCTION("""COMPUTED_VALUE"""),65.96)</f>
        <v>65.96</v>
      </c>
      <c r="C602" s="12">
        <f>IFERROR(__xludf.DUMMYFUNCTION("""COMPUTED_VALUE"""),44697.66666666667)</f>
        <v>44697.66667</v>
      </c>
      <c r="D602" s="11">
        <f>IFERROR(__xludf.DUMMYFUNCTION("""COMPUTED_VALUE"""),261.5)</f>
        <v>261.5</v>
      </c>
      <c r="E602" s="12">
        <f>IFERROR(__xludf.DUMMYFUNCTION("""COMPUTED_VALUE"""),44697.66666666667)</f>
        <v>44697.66667</v>
      </c>
      <c r="F602" s="11">
        <f>IFERROR(__xludf.DUMMYFUNCTION("""COMPUTED_VALUE"""),241.46)</f>
        <v>241.46</v>
      </c>
      <c r="G602" s="12">
        <f>IFERROR(__xludf.DUMMYFUNCTION("""COMPUTED_VALUE"""),44697.66666666667)</f>
        <v>44697.66667</v>
      </c>
      <c r="H602" s="11">
        <f>IFERROR(__xludf.DUMMYFUNCTION("""COMPUTED_VALUE"""),145.54)</f>
        <v>145.54</v>
      </c>
    </row>
    <row r="603" ht="15.75" customHeight="1">
      <c r="A603" s="12">
        <f>IFERROR(__xludf.DUMMYFUNCTION("""COMPUTED_VALUE"""),44698.66666666667)</f>
        <v>44698.66667</v>
      </c>
      <c r="B603" s="11">
        <f>IFERROR(__xludf.DUMMYFUNCTION("""COMPUTED_VALUE"""),65.78)</f>
        <v>65.78</v>
      </c>
      <c r="C603" s="12">
        <f>IFERROR(__xludf.DUMMYFUNCTION("""COMPUTED_VALUE"""),44698.66666666667)</f>
        <v>44698.66667</v>
      </c>
      <c r="D603" s="11">
        <f>IFERROR(__xludf.DUMMYFUNCTION("""COMPUTED_VALUE"""),266.82)</f>
        <v>266.82</v>
      </c>
      <c r="E603" s="12">
        <f>IFERROR(__xludf.DUMMYFUNCTION("""COMPUTED_VALUE"""),44698.66666666667)</f>
        <v>44698.66667</v>
      </c>
      <c r="F603" s="11">
        <f>IFERROR(__xludf.DUMMYFUNCTION("""COMPUTED_VALUE"""),253.87)</f>
        <v>253.87</v>
      </c>
      <c r="G603" s="12">
        <f>IFERROR(__xludf.DUMMYFUNCTION("""COMPUTED_VALUE"""),44698.66666666667)</f>
        <v>44698.66667</v>
      </c>
      <c r="H603" s="11">
        <f>IFERROR(__xludf.DUMMYFUNCTION("""COMPUTED_VALUE"""),149.24)</f>
        <v>149.24</v>
      </c>
    </row>
    <row r="604" ht="15.75" customHeight="1">
      <c r="A604" s="12">
        <f>IFERROR(__xludf.DUMMYFUNCTION("""COMPUTED_VALUE"""),44699.66666666667)</f>
        <v>44699.66667</v>
      </c>
      <c r="B604" s="11">
        <f>IFERROR(__xludf.DUMMYFUNCTION("""COMPUTED_VALUE"""),61.2)</f>
        <v>61.2</v>
      </c>
      <c r="C604" s="12">
        <f>IFERROR(__xludf.DUMMYFUNCTION("""COMPUTED_VALUE"""),44699.66666666667)</f>
        <v>44699.66667</v>
      </c>
      <c r="D604" s="11">
        <f>IFERROR(__xludf.DUMMYFUNCTION("""COMPUTED_VALUE"""),254.08)</f>
        <v>254.08</v>
      </c>
      <c r="E604" s="12">
        <f>IFERROR(__xludf.DUMMYFUNCTION("""COMPUTED_VALUE"""),44699.66666666667)</f>
        <v>44699.66667</v>
      </c>
      <c r="F604" s="11">
        <f>IFERROR(__xludf.DUMMYFUNCTION("""COMPUTED_VALUE"""),236.6)</f>
        <v>236.6</v>
      </c>
      <c r="G604" s="12">
        <f>IFERROR(__xludf.DUMMYFUNCTION("""COMPUTED_VALUE"""),44699.66666666667)</f>
        <v>44699.66667</v>
      </c>
      <c r="H604" s="11">
        <f>IFERROR(__xludf.DUMMYFUNCTION("""COMPUTED_VALUE"""),140.82)</f>
        <v>140.82</v>
      </c>
    </row>
    <row r="605" ht="15.75" customHeight="1">
      <c r="A605" s="12">
        <f>IFERROR(__xludf.DUMMYFUNCTION("""COMPUTED_VALUE"""),44700.66666666667)</f>
        <v>44700.66667</v>
      </c>
      <c r="B605" s="11">
        <f>IFERROR(__xludf.DUMMYFUNCTION("""COMPUTED_VALUE"""),60.0)</f>
        <v>60</v>
      </c>
      <c r="C605" s="12">
        <f>IFERROR(__xludf.DUMMYFUNCTION("""COMPUTED_VALUE"""),44700.66666666667)</f>
        <v>44700.66667</v>
      </c>
      <c r="D605" s="11">
        <f>IFERROR(__xludf.DUMMYFUNCTION("""COMPUTED_VALUE"""),253.14)</f>
        <v>253.14</v>
      </c>
      <c r="E605" s="12">
        <f>IFERROR(__xludf.DUMMYFUNCTION("""COMPUTED_VALUE"""),44700.66666666667)</f>
        <v>44700.66667</v>
      </c>
      <c r="F605" s="11">
        <f>IFERROR(__xludf.DUMMYFUNCTION("""COMPUTED_VALUE"""),236.47)</f>
        <v>236.47</v>
      </c>
      <c r="G605" s="12">
        <f>IFERROR(__xludf.DUMMYFUNCTION("""COMPUTED_VALUE"""),44700.66666666667)</f>
        <v>44700.66667</v>
      </c>
      <c r="H605" s="11">
        <f>IFERROR(__xludf.DUMMYFUNCTION("""COMPUTED_VALUE"""),137.35)</f>
        <v>137.35</v>
      </c>
    </row>
    <row r="606" ht="15.75" customHeight="1">
      <c r="A606" s="12">
        <f>IFERROR(__xludf.DUMMYFUNCTION("""COMPUTED_VALUE"""),44701.66666666667)</f>
        <v>44701.66667</v>
      </c>
      <c r="B606" s="11">
        <f>IFERROR(__xludf.DUMMYFUNCTION("""COMPUTED_VALUE"""),60.98)</f>
        <v>60.98</v>
      </c>
      <c r="C606" s="12">
        <f>IFERROR(__xludf.DUMMYFUNCTION("""COMPUTED_VALUE"""),44701.66666666667)</f>
        <v>44701.66667</v>
      </c>
      <c r="D606" s="11">
        <f>IFERROR(__xludf.DUMMYFUNCTION("""COMPUTED_VALUE"""),252.56)</f>
        <v>252.56</v>
      </c>
      <c r="E606" s="12">
        <f>IFERROR(__xludf.DUMMYFUNCTION("""COMPUTED_VALUE"""),44701.66666666667)</f>
        <v>44701.66667</v>
      </c>
      <c r="F606" s="11">
        <f>IFERROR(__xludf.DUMMYFUNCTION("""COMPUTED_VALUE"""),221.3)</f>
        <v>221.3</v>
      </c>
      <c r="G606" s="12">
        <f>IFERROR(__xludf.DUMMYFUNCTION("""COMPUTED_VALUE"""),44701.66666666667)</f>
        <v>44701.66667</v>
      </c>
      <c r="H606" s="11">
        <f>IFERROR(__xludf.DUMMYFUNCTION("""COMPUTED_VALUE"""),137.59)</f>
        <v>137.59</v>
      </c>
    </row>
    <row r="607" ht="15.75" customHeight="1">
      <c r="A607" s="12">
        <f>IFERROR(__xludf.DUMMYFUNCTION("""COMPUTED_VALUE"""),44704.66666666667)</f>
        <v>44704.66667</v>
      </c>
      <c r="B607" s="11">
        <f>IFERROR(__xludf.DUMMYFUNCTION("""COMPUTED_VALUE"""),62.86)</f>
        <v>62.86</v>
      </c>
      <c r="C607" s="12">
        <f>IFERROR(__xludf.DUMMYFUNCTION("""COMPUTED_VALUE"""),44704.66666666667)</f>
        <v>44704.66667</v>
      </c>
      <c r="D607" s="11">
        <f>IFERROR(__xludf.DUMMYFUNCTION("""COMPUTED_VALUE"""),260.65)</f>
        <v>260.65</v>
      </c>
      <c r="E607" s="12">
        <f>IFERROR(__xludf.DUMMYFUNCTION("""COMPUTED_VALUE"""),44704.66666666667)</f>
        <v>44704.66667</v>
      </c>
      <c r="F607" s="11">
        <f>IFERROR(__xludf.DUMMYFUNCTION("""COMPUTED_VALUE"""),224.97)</f>
        <v>224.97</v>
      </c>
      <c r="G607" s="12">
        <f>IFERROR(__xludf.DUMMYFUNCTION("""COMPUTED_VALUE"""),44704.66666666667)</f>
        <v>44704.66667</v>
      </c>
      <c r="H607" s="11">
        <f>IFERROR(__xludf.DUMMYFUNCTION("""COMPUTED_VALUE"""),143.11)</f>
        <v>143.11</v>
      </c>
    </row>
    <row r="608" ht="15.75" customHeight="1">
      <c r="A608" s="12">
        <f>IFERROR(__xludf.DUMMYFUNCTION("""COMPUTED_VALUE"""),44705.66666666667)</f>
        <v>44705.66667</v>
      </c>
      <c r="B608" s="11">
        <f>IFERROR(__xludf.DUMMYFUNCTION("""COMPUTED_VALUE"""),64.02)</f>
        <v>64.02</v>
      </c>
      <c r="C608" s="12">
        <f>IFERROR(__xludf.DUMMYFUNCTION("""COMPUTED_VALUE"""),44705.66666666667)</f>
        <v>44705.66667</v>
      </c>
      <c r="D608" s="11">
        <f>IFERROR(__xludf.DUMMYFUNCTION("""COMPUTED_VALUE"""),259.62)</f>
        <v>259.62</v>
      </c>
      <c r="E608" s="12">
        <f>IFERROR(__xludf.DUMMYFUNCTION("""COMPUTED_VALUE"""),44705.66666666667)</f>
        <v>44705.66667</v>
      </c>
      <c r="F608" s="11">
        <f>IFERROR(__xludf.DUMMYFUNCTION("""COMPUTED_VALUE"""),209.39)</f>
        <v>209.39</v>
      </c>
      <c r="G608" s="12">
        <f>IFERROR(__xludf.DUMMYFUNCTION("""COMPUTED_VALUE"""),44705.66666666667)</f>
        <v>44705.66667</v>
      </c>
      <c r="H608" s="11">
        <f>IFERROR(__xludf.DUMMYFUNCTION("""COMPUTED_VALUE"""),140.36)</f>
        <v>140.36</v>
      </c>
    </row>
    <row r="609" ht="15.75" customHeight="1">
      <c r="A609" s="12">
        <f>IFERROR(__xludf.DUMMYFUNCTION("""COMPUTED_VALUE"""),44706.66666666667)</f>
        <v>44706.66667</v>
      </c>
      <c r="B609" s="11">
        <f>IFERROR(__xludf.DUMMYFUNCTION("""COMPUTED_VALUE"""),64.07)</f>
        <v>64.07</v>
      </c>
      <c r="C609" s="12">
        <f>IFERROR(__xludf.DUMMYFUNCTION("""COMPUTED_VALUE"""),44706.66666666667)</f>
        <v>44706.66667</v>
      </c>
      <c r="D609" s="11">
        <f>IFERROR(__xludf.DUMMYFUNCTION("""COMPUTED_VALUE"""),262.52)</f>
        <v>262.52</v>
      </c>
      <c r="E609" s="12">
        <f>IFERROR(__xludf.DUMMYFUNCTION("""COMPUTED_VALUE"""),44706.66666666667)</f>
        <v>44706.66667</v>
      </c>
      <c r="F609" s="11">
        <f>IFERROR(__xludf.DUMMYFUNCTION("""COMPUTED_VALUE"""),219.6)</f>
        <v>219.6</v>
      </c>
      <c r="G609" s="12">
        <f>IFERROR(__xludf.DUMMYFUNCTION("""COMPUTED_VALUE"""),44706.66666666667)</f>
        <v>44706.66667</v>
      </c>
      <c r="H609" s="11">
        <f>IFERROR(__xludf.DUMMYFUNCTION("""COMPUTED_VALUE"""),140.52)</f>
        <v>140.52</v>
      </c>
    </row>
    <row r="610" ht="15.75" customHeight="1">
      <c r="A610" s="12">
        <f>IFERROR(__xludf.DUMMYFUNCTION("""COMPUTED_VALUE"""),44707.66666666667)</f>
        <v>44707.66667</v>
      </c>
      <c r="B610" s="11">
        <f>IFERROR(__xludf.DUMMYFUNCTION("""COMPUTED_VALUE"""),64.3)</f>
        <v>64.3</v>
      </c>
      <c r="C610" s="12">
        <f>IFERROR(__xludf.DUMMYFUNCTION("""COMPUTED_VALUE"""),44707.66666666667)</f>
        <v>44707.66667</v>
      </c>
      <c r="D610" s="11">
        <f>IFERROR(__xludf.DUMMYFUNCTION("""COMPUTED_VALUE"""),265.9)</f>
        <v>265.9</v>
      </c>
      <c r="E610" s="12">
        <f>IFERROR(__xludf.DUMMYFUNCTION("""COMPUTED_VALUE"""),44707.66666666667)</f>
        <v>44707.66667</v>
      </c>
      <c r="F610" s="11">
        <f>IFERROR(__xludf.DUMMYFUNCTION("""COMPUTED_VALUE"""),235.91)</f>
        <v>235.91</v>
      </c>
      <c r="G610" s="12">
        <f>IFERROR(__xludf.DUMMYFUNCTION("""COMPUTED_VALUE"""),44707.66666666667)</f>
        <v>44707.66667</v>
      </c>
      <c r="H610" s="11">
        <f>IFERROR(__xludf.DUMMYFUNCTION("""COMPUTED_VALUE"""),143.78)</f>
        <v>143.78</v>
      </c>
    </row>
    <row r="611" ht="15.75" customHeight="1">
      <c r="A611" s="12">
        <f>IFERROR(__xludf.DUMMYFUNCTION("""COMPUTED_VALUE"""),44708.66666666667)</f>
        <v>44708.66667</v>
      </c>
      <c r="B611" s="11">
        <f>IFERROR(__xludf.DUMMYFUNCTION("""COMPUTED_VALUE"""),64.68)</f>
        <v>64.68</v>
      </c>
      <c r="C611" s="12">
        <f>IFERROR(__xludf.DUMMYFUNCTION("""COMPUTED_VALUE"""),44708.66666666667)</f>
        <v>44708.66667</v>
      </c>
      <c r="D611" s="11">
        <f>IFERROR(__xludf.DUMMYFUNCTION("""COMPUTED_VALUE"""),273.24)</f>
        <v>273.24</v>
      </c>
      <c r="E611" s="12">
        <f>IFERROR(__xludf.DUMMYFUNCTION("""COMPUTED_VALUE"""),44708.66666666667)</f>
        <v>44708.66667</v>
      </c>
      <c r="F611" s="11">
        <f>IFERROR(__xludf.DUMMYFUNCTION("""COMPUTED_VALUE"""),253.21)</f>
        <v>253.21</v>
      </c>
      <c r="G611" s="12">
        <f>IFERROR(__xludf.DUMMYFUNCTION("""COMPUTED_VALUE"""),44708.66666666667)</f>
        <v>44708.66667</v>
      </c>
      <c r="H611" s="11">
        <f>IFERROR(__xludf.DUMMYFUNCTION("""COMPUTED_VALUE"""),149.64)</f>
        <v>149.64</v>
      </c>
    </row>
    <row r="612" ht="15.75" customHeight="1">
      <c r="A612" s="12">
        <f>IFERROR(__xludf.DUMMYFUNCTION("""COMPUTED_VALUE"""),44712.66666666667)</f>
        <v>44712.66667</v>
      </c>
      <c r="B612" s="11">
        <f>IFERROR(__xludf.DUMMYFUNCTION("""COMPUTED_VALUE"""),63.38)</f>
        <v>63.38</v>
      </c>
      <c r="C612" s="12">
        <f>IFERROR(__xludf.DUMMYFUNCTION("""COMPUTED_VALUE"""),44712.66666666667)</f>
        <v>44712.66667</v>
      </c>
      <c r="D612" s="11">
        <f>IFERROR(__xludf.DUMMYFUNCTION("""COMPUTED_VALUE"""),271.87)</f>
        <v>271.87</v>
      </c>
      <c r="E612" s="12">
        <f>IFERROR(__xludf.DUMMYFUNCTION("""COMPUTED_VALUE"""),44712.66666666667)</f>
        <v>44712.66667</v>
      </c>
      <c r="F612" s="11">
        <f>IFERROR(__xludf.DUMMYFUNCTION("""COMPUTED_VALUE"""),252.75)</f>
        <v>252.75</v>
      </c>
      <c r="G612" s="12">
        <f>IFERROR(__xludf.DUMMYFUNCTION("""COMPUTED_VALUE"""),44712.66666666667)</f>
        <v>44712.66667</v>
      </c>
      <c r="H612" s="11">
        <f>IFERROR(__xludf.DUMMYFUNCTION("""COMPUTED_VALUE"""),148.84)</f>
        <v>148.84</v>
      </c>
    </row>
    <row r="613" ht="15.75" customHeight="1">
      <c r="A613" s="12">
        <f>IFERROR(__xludf.DUMMYFUNCTION("""COMPUTED_VALUE"""),44713.66666666667)</f>
        <v>44713.66667</v>
      </c>
      <c r="B613" s="11">
        <f>IFERROR(__xludf.DUMMYFUNCTION("""COMPUTED_VALUE"""),63.07)</f>
        <v>63.07</v>
      </c>
      <c r="C613" s="12">
        <f>IFERROR(__xludf.DUMMYFUNCTION("""COMPUTED_VALUE"""),44713.66666666667)</f>
        <v>44713.66667</v>
      </c>
      <c r="D613" s="11">
        <f>IFERROR(__xludf.DUMMYFUNCTION("""COMPUTED_VALUE"""),272.42)</f>
        <v>272.42</v>
      </c>
      <c r="E613" s="12">
        <f>IFERROR(__xludf.DUMMYFUNCTION("""COMPUTED_VALUE"""),44713.66666666667)</f>
        <v>44713.66667</v>
      </c>
      <c r="F613" s="11">
        <f>IFERROR(__xludf.DUMMYFUNCTION("""COMPUTED_VALUE"""),246.79)</f>
        <v>246.79</v>
      </c>
      <c r="G613" s="12">
        <f>IFERROR(__xludf.DUMMYFUNCTION("""COMPUTED_VALUE"""),44713.66666666667)</f>
        <v>44713.66667</v>
      </c>
      <c r="H613" s="11">
        <f>IFERROR(__xludf.DUMMYFUNCTION("""COMPUTED_VALUE"""),148.71)</f>
        <v>148.71</v>
      </c>
    </row>
    <row r="614" ht="15.75" customHeight="1">
      <c r="A614" s="12">
        <f>IFERROR(__xludf.DUMMYFUNCTION("""COMPUTED_VALUE"""),44714.66666666667)</f>
        <v>44714.66667</v>
      </c>
      <c r="B614" s="11">
        <f>IFERROR(__xludf.DUMMYFUNCTION("""COMPUTED_VALUE"""),63.73)</f>
        <v>63.73</v>
      </c>
      <c r="C614" s="12">
        <f>IFERROR(__xludf.DUMMYFUNCTION("""COMPUTED_VALUE"""),44714.66666666667)</f>
        <v>44714.66667</v>
      </c>
      <c r="D614" s="11">
        <f>IFERROR(__xludf.DUMMYFUNCTION("""COMPUTED_VALUE"""),274.58)</f>
        <v>274.58</v>
      </c>
      <c r="E614" s="12">
        <f>IFERROR(__xludf.DUMMYFUNCTION("""COMPUTED_VALUE"""),44714.66666666667)</f>
        <v>44714.66667</v>
      </c>
      <c r="F614" s="11">
        <f>IFERROR(__xludf.DUMMYFUNCTION("""COMPUTED_VALUE"""),258.33)</f>
        <v>258.33</v>
      </c>
      <c r="G614" s="12">
        <f>IFERROR(__xludf.DUMMYFUNCTION("""COMPUTED_VALUE"""),44714.66666666667)</f>
        <v>44714.66667</v>
      </c>
      <c r="H614" s="11">
        <f>IFERROR(__xludf.DUMMYFUNCTION("""COMPUTED_VALUE"""),151.21)</f>
        <v>151.21</v>
      </c>
    </row>
    <row r="615" ht="15.75" customHeight="1">
      <c r="A615" s="12">
        <f>IFERROR(__xludf.DUMMYFUNCTION("""COMPUTED_VALUE"""),44715.66666666667)</f>
        <v>44715.66667</v>
      </c>
      <c r="B615" s="11">
        <f>IFERROR(__xludf.DUMMYFUNCTION("""COMPUTED_VALUE"""),62.97)</f>
        <v>62.97</v>
      </c>
      <c r="C615" s="12">
        <f>IFERROR(__xludf.DUMMYFUNCTION("""COMPUTED_VALUE"""),44715.66666666667)</f>
        <v>44715.66667</v>
      </c>
      <c r="D615" s="11">
        <f>IFERROR(__xludf.DUMMYFUNCTION("""COMPUTED_VALUE"""),270.02)</f>
        <v>270.02</v>
      </c>
      <c r="E615" s="12">
        <f>IFERROR(__xludf.DUMMYFUNCTION("""COMPUTED_VALUE"""),44715.66666666667)</f>
        <v>44715.66667</v>
      </c>
      <c r="F615" s="11">
        <f>IFERROR(__xludf.DUMMYFUNCTION("""COMPUTED_VALUE"""),234.52)</f>
        <v>234.52</v>
      </c>
      <c r="G615" s="12">
        <f>IFERROR(__xludf.DUMMYFUNCTION("""COMPUTED_VALUE"""),44715.66666666667)</f>
        <v>44715.66667</v>
      </c>
      <c r="H615" s="11">
        <f>IFERROR(__xludf.DUMMYFUNCTION("""COMPUTED_VALUE"""),145.38)</f>
        <v>145.38</v>
      </c>
    </row>
    <row r="616" ht="15.75" customHeight="1">
      <c r="A616" s="12">
        <f>IFERROR(__xludf.DUMMYFUNCTION("""COMPUTED_VALUE"""),44718.66666666667)</f>
        <v>44718.66667</v>
      </c>
      <c r="B616" s="11">
        <f>IFERROR(__xludf.DUMMYFUNCTION("""COMPUTED_VALUE"""),62.87)</f>
        <v>62.87</v>
      </c>
      <c r="C616" s="12">
        <f>IFERROR(__xludf.DUMMYFUNCTION("""COMPUTED_VALUE"""),44718.66666666667)</f>
        <v>44718.66667</v>
      </c>
      <c r="D616" s="11">
        <f>IFERROR(__xludf.DUMMYFUNCTION("""COMPUTED_VALUE"""),268.75)</f>
        <v>268.75</v>
      </c>
      <c r="E616" s="12">
        <f>IFERROR(__xludf.DUMMYFUNCTION("""COMPUTED_VALUE"""),44718.66666666667)</f>
        <v>44718.66667</v>
      </c>
      <c r="F616" s="11">
        <f>IFERROR(__xludf.DUMMYFUNCTION("""COMPUTED_VALUE"""),238.28)</f>
        <v>238.28</v>
      </c>
      <c r="G616" s="12">
        <f>IFERROR(__xludf.DUMMYFUNCTION("""COMPUTED_VALUE"""),44718.66666666667)</f>
        <v>44718.66667</v>
      </c>
      <c r="H616" s="11">
        <f>IFERROR(__xludf.DUMMYFUNCTION("""COMPUTED_VALUE"""),146.14)</f>
        <v>146.14</v>
      </c>
    </row>
    <row r="617" ht="15.75" customHeight="1">
      <c r="A617" s="12">
        <f>IFERROR(__xludf.DUMMYFUNCTION("""COMPUTED_VALUE"""),44719.66666666667)</f>
        <v>44719.66667</v>
      </c>
      <c r="B617" s="11">
        <f>IFERROR(__xludf.DUMMYFUNCTION("""COMPUTED_VALUE"""),63.25)</f>
        <v>63.25</v>
      </c>
      <c r="C617" s="12">
        <f>IFERROR(__xludf.DUMMYFUNCTION("""COMPUTED_VALUE"""),44719.66666666667)</f>
        <v>44719.66667</v>
      </c>
      <c r="D617" s="11">
        <f>IFERROR(__xludf.DUMMYFUNCTION("""COMPUTED_VALUE"""),272.5)</f>
        <v>272.5</v>
      </c>
      <c r="E617" s="12">
        <f>IFERROR(__xludf.DUMMYFUNCTION("""COMPUTED_VALUE"""),44719.66666666667)</f>
        <v>44719.66667</v>
      </c>
      <c r="F617" s="11">
        <f>IFERROR(__xludf.DUMMYFUNCTION("""COMPUTED_VALUE"""),238.89)</f>
        <v>238.89</v>
      </c>
      <c r="G617" s="12">
        <f>IFERROR(__xludf.DUMMYFUNCTION("""COMPUTED_VALUE"""),44719.66666666667)</f>
        <v>44719.66667</v>
      </c>
      <c r="H617" s="11">
        <f>IFERROR(__xludf.DUMMYFUNCTION("""COMPUTED_VALUE"""),148.71)</f>
        <v>148.71</v>
      </c>
    </row>
    <row r="618" ht="15.75" customHeight="1">
      <c r="A618" s="12">
        <f>IFERROR(__xludf.DUMMYFUNCTION("""COMPUTED_VALUE"""),44720.66666666667)</f>
        <v>44720.66667</v>
      </c>
      <c r="B618" s="11">
        <f>IFERROR(__xludf.DUMMYFUNCTION("""COMPUTED_VALUE"""),62.89)</f>
        <v>62.89</v>
      </c>
      <c r="C618" s="12">
        <f>IFERROR(__xludf.DUMMYFUNCTION("""COMPUTED_VALUE"""),44720.66666666667)</f>
        <v>44720.66667</v>
      </c>
      <c r="D618" s="11">
        <f>IFERROR(__xludf.DUMMYFUNCTION("""COMPUTED_VALUE"""),270.41)</f>
        <v>270.41</v>
      </c>
      <c r="E618" s="12">
        <f>IFERROR(__xludf.DUMMYFUNCTION("""COMPUTED_VALUE"""),44720.66666666667)</f>
        <v>44720.66667</v>
      </c>
      <c r="F618" s="11">
        <f>IFERROR(__xludf.DUMMYFUNCTION("""COMPUTED_VALUE"""),241.87)</f>
        <v>241.87</v>
      </c>
      <c r="G618" s="12">
        <f>IFERROR(__xludf.DUMMYFUNCTION("""COMPUTED_VALUE"""),44720.66666666667)</f>
        <v>44720.66667</v>
      </c>
      <c r="H618" s="11">
        <f>IFERROR(__xludf.DUMMYFUNCTION("""COMPUTED_VALUE"""),147.96)</f>
        <v>147.96</v>
      </c>
    </row>
    <row r="619" ht="15.75" customHeight="1">
      <c r="A619" s="12">
        <f>IFERROR(__xludf.DUMMYFUNCTION("""COMPUTED_VALUE"""),44721.66666666667)</f>
        <v>44721.66667</v>
      </c>
      <c r="B619" s="11">
        <f>IFERROR(__xludf.DUMMYFUNCTION("""COMPUTED_VALUE"""),61.8)</f>
        <v>61.8</v>
      </c>
      <c r="C619" s="12">
        <f>IFERROR(__xludf.DUMMYFUNCTION("""COMPUTED_VALUE"""),44721.66666666667)</f>
        <v>44721.66667</v>
      </c>
      <c r="D619" s="11">
        <f>IFERROR(__xludf.DUMMYFUNCTION("""COMPUTED_VALUE"""),264.79)</f>
        <v>264.79</v>
      </c>
      <c r="E619" s="12">
        <f>IFERROR(__xludf.DUMMYFUNCTION("""COMPUTED_VALUE"""),44721.66666666667)</f>
        <v>44721.66667</v>
      </c>
      <c r="F619" s="11">
        <f>IFERROR(__xludf.DUMMYFUNCTION("""COMPUTED_VALUE"""),239.71)</f>
        <v>239.71</v>
      </c>
      <c r="G619" s="12">
        <f>IFERROR(__xludf.DUMMYFUNCTION("""COMPUTED_VALUE"""),44721.66666666667)</f>
        <v>44721.66667</v>
      </c>
      <c r="H619" s="11">
        <f>IFERROR(__xludf.DUMMYFUNCTION("""COMPUTED_VALUE"""),142.64)</f>
        <v>142.64</v>
      </c>
    </row>
    <row r="620" ht="15.75" customHeight="1">
      <c r="A620" s="12">
        <f>IFERROR(__xludf.DUMMYFUNCTION("""COMPUTED_VALUE"""),44722.66666666667)</f>
        <v>44722.66667</v>
      </c>
      <c r="B620" s="11">
        <f>IFERROR(__xludf.DUMMYFUNCTION("""COMPUTED_VALUE"""),61.41)</f>
        <v>61.41</v>
      </c>
      <c r="C620" s="12">
        <f>IFERROR(__xludf.DUMMYFUNCTION("""COMPUTED_VALUE"""),44722.66666666667)</f>
        <v>44722.66667</v>
      </c>
      <c r="D620" s="11">
        <f>IFERROR(__xludf.DUMMYFUNCTION("""COMPUTED_VALUE"""),252.99)</f>
        <v>252.99</v>
      </c>
      <c r="E620" s="12">
        <f>IFERROR(__xludf.DUMMYFUNCTION("""COMPUTED_VALUE"""),44722.66666666667)</f>
        <v>44722.66667</v>
      </c>
      <c r="F620" s="11">
        <f>IFERROR(__xludf.DUMMYFUNCTION("""COMPUTED_VALUE"""),232.23)</f>
        <v>232.23</v>
      </c>
      <c r="G620" s="12">
        <f>IFERROR(__xludf.DUMMYFUNCTION("""COMPUTED_VALUE"""),44722.66666666667)</f>
        <v>44722.66667</v>
      </c>
      <c r="H620" s="11">
        <f>IFERROR(__xludf.DUMMYFUNCTION("""COMPUTED_VALUE"""),137.13)</f>
        <v>137.13</v>
      </c>
    </row>
    <row r="621" ht="15.75" customHeight="1">
      <c r="A621" s="12">
        <f>IFERROR(__xludf.DUMMYFUNCTION("""COMPUTED_VALUE"""),44725.66666666667)</f>
        <v>44725.66667</v>
      </c>
      <c r="B621" s="11">
        <f>IFERROR(__xludf.DUMMYFUNCTION("""COMPUTED_VALUE"""),61.34)</f>
        <v>61.34</v>
      </c>
      <c r="C621" s="12">
        <f>IFERROR(__xludf.DUMMYFUNCTION("""COMPUTED_VALUE"""),44725.66666666667)</f>
        <v>44725.66667</v>
      </c>
      <c r="D621" s="11">
        <f>IFERROR(__xludf.DUMMYFUNCTION("""COMPUTED_VALUE"""),242.26)</f>
        <v>242.26</v>
      </c>
      <c r="E621" s="12">
        <f>IFERROR(__xludf.DUMMYFUNCTION("""COMPUTED_VALUE"""),44725.66666666667)</f>
        <v>44725.66667</v>
      </c>
      <c r="F621" s="11">
        <f>IFERROR(__xludf.DUMMYFUNCTION("""COMPUTED_VALUE"""),215.74)</f>
        <v>215.74</v>
      </c>
      <c r="G621" s="12">
        <f>IFERROR(__xludf.DUMMYFUNCTION("""COMPUTED_VALUE"""),44725.66666666667)</f>
        <v>44725.66667</v>
      </c>
      <c r="H621" s="11">
        <f>IFERROR(__xludf.DUMMYFUNCTION("""COMPUTED_VALUE"""),131.88)</f>
        <v>131.88</v>
      </c>
    </row>
    <row r="622" ht="15.75" customHeight="1">
      <c r="A622" s="12">
        <f>IFERROR(__xludf.DUMMYFUNCTION("""COMPUTED_VALUE"""),44726.66666666667)</f>
        <v>44726.66667</v>
      </c>
      <c r="B622" s="11">
        <f>IFERROR(__xludf.DUMMYFUNCTION("""COMPUTED_VALUE"""),59.23)</f>
        <v>59.23</v>
      </c>
      <c r="C622" s="12">
        <f>IFERROR(__xludf.DUMMYFUNCTION("""COMPUTED_VALUE"""),44726.66666666667)</f>
        <v>44726.66667</v>
      </c>
      <c r="D622" s="11">
        <f>IFERROR(__xludf.DUMMYFUNCTION("""COMPUTED_VALUE"""),244.49)</f>
        <v>244.49</v>
      </c>
      <c r="E622" s="12">
        <f>IFERROR(__xludf.DUMMYFUNCTION("""COMPUTED_VALUE"""),44726.66666666667)</f>
        <v>44726.66667</v>
      </c>
      <c r="F622" s="11">
        <f>IFERROR(__xludf.DUMMYFUNCTION("""COMPUTED_VALUE"""),220.89)</f>
        <v>220.89</v>
      </c>
      <c r="G622" s="12">
        <f>IFERROR(__xludf.DUMMYFUNCTION("""COMPUTED_VALUE"""),44726.66666666667)</f>
        <v>44726.66667</v>
      </c>
      <c r="H622" s="11">
        <f>IFERROR(__xludf.DUMMYFUNCTION("""COMPUTED_VALUE"""),132.76)</f>
        <v>132.76</v>
      </c>
    </row>
    <row r="623" ht="15.75" customHeight="1">
      <c r="A623" s="12">
        <f>IFERROR(__xludf.DUMMYFUNCTION("""COMPUTED_VALUE"""),44727.66666666667)</f>
        <v>44727.66667</v>
      </c>
      <c r="B623" s="11">
        <f>IFERROR(__xludf.DUMMYFUNCTION("""COMPUTED_VALUE"""),59.67)</f>
        <v>59.67</v>
      </c>
      <c r="C623" s="12">
        <f>IFERROR(__xludf.DUMMYFUNCTION("""COMPUTED_VALUE"""),44727.66666666667)</f>
        <v>44727.66667</v>
      </c>
      <c r="D623" s="11">
        <f>IFERROR(__xludf.DUMMYFUNCTION("""COMPUTED_VALUE"""),251.76)</f>
        <v>251.76</v>
      </c>
      <c r="E623" s="12">
        <f>IFERROR(__xludf.DUMMYFUNCTION("""COMPUTED_VALUE"""),44727.66666666667)</f>
        <v>44727.66667</v>
      </c>
      <c r="F623" s="11">
        <f>IFERROR(__xludf.DUMMYFUNCTION("""COMPUTED_VALUE"""),233.0)</f>
        <v>233</v>
      </c>
      <c r="G623" s="12">
        <f>IFERROR(__xludf.DUMMYFUNCTION("""COMPUTED_VALUE"""),44727.66666666667)</f>
        <v>44727.66667</v>
      </c>
      <c r="H623" s="11">
        <f>IFERROR(__xludf.DUMMYFUNCTION("""COMPUTED_VALUE"""),135.43)</f>
        <v>135.43</v>
      </c>
    </row>
    <row r="624" ht="15.75" customHeight="1">
      <c r="A624" s="12">
        <f>IFERROR(__xludf.DUMMYFUNCTION("""COMPUTED_VALUE"""),44728.66666666667)</f>
        <v>44728.66667</v>
      </c>
      <c r="B624" s="11">
        <f>IFERROR(__xludf.DUMMYFUNCTION("""COMPUTED_VALUE"""),59.07)</f>
        <v>59.07</v>
      </c>
      <c r="C624" s="12">
        <f>IFERROR(__xludf.DUMMYFUNCTION("""COMPUTED_VALUE"""),44728.66666666667)</f>
        <v>44728.66667</v>
      </c>
      <c r="D624" s="11">
        <f>IFERROR(__xludf.DUMMYFUNCTION("""COMPUTED_VALUE"""),244.97)</f>
        <v>244.97</v>
      </c>
      <c r="E624" s="12">
        <f>IFERROR(__xludf.DUMMYFUNCTION("""COMPUTED_VALUE"""),44728.66666666667)</f>
        <v>44728.66667</v>
      </c>
      <c r="F624" s="11">
        <f>IFERROR(__xludf.DUMMYFUNCTION("""COMPUTED_VALUE"""),213.1)</f>
        <v>213.1</v>
      </c>
      <c r="G624" s="12">
        <f>IFERROR(__xludf.DUMMYFUNCTION("""COMPUTED_VALUE"""),44728.66666666667)</f>
        <v>44728.66667</v>
      </c>
      <c r="H624" s="11">
        <f>IFERROR(__xludf.DUMMYFUNCTION("""COMPUTED_VALUE"""),130.06)</f>
        <v>130.06</v>
      </c>
    </row>
    <row r="625" ht="15.75" customHeight="1">
      <c r="A625" s="12">
        <f>IFERROR(__xludf.DUMMYFUNCTION("""COMPUTED_VALUE"""),44729.66666666667)</f>
        <v>44729.66667</v>
      </c>
      <c r="B625" s="11">
        <f>IFERROR(__xludf.DUMMYFUNCTION("""COMPUTED_VALUE"""),59.43)</f>
        <v>59.43</v>
      </c>
      <c r="C625" s="12">
        <f>IFERROR(__xludf.DUMMYFUNCTION("""COMPUTED_VALUE"""),44729.66666666667)</f>
        <v>44729.66667</v>
      </c>
      <c r="D625" s="11">
        <f>IFERROR(__xludf.DUMMYFUNCTION("""COMPUTED_VALUE"""),247.65)</f>
        <v>247.65</v>
      </c>
      <c r="E625" s="12">
        <f>IFERROR(__xludf.DUMMYFUNCTION("""COMPUTED_VALUE"""),44729.66666666667)</f>
        <v>44729.66667</v>
      </c>
      <c r="F625" s="11">
        <f>IFERROR(__xludf.DUMMYFUNCTION("""COMPUTED_VALUE"""),216.76)</f>
        <v>216.76</v>
      </c>
      <c r="G625" s="12">
        <f>IFERROR(__xludf.DUMMYFUNCTION("""COMPUTED_VALUE"""),44729.66666666667)</f>
        <v>44729.66667</v>
      </c>
      <c r="H625" s="11">
        <f>IFERROR(__xludf.DUMMYFUNCTION("""COMPUTED_VALUE"""),131.56)</f>
        <v>131.56</v>
      </c>
    </row>
    <row r="626" ht="15.75" customHeight="1">
      <c r="A626" s="12">
        <f>IFERROR(__xludf.DUMMYFUNCTION("""COMPUTED_VALUE"""),44733.66666666667)</f>
        <v>44733.66667</v>
      </c>
      <c r="B626" s="11">
        <f>IFERROR(__xludf.DUMMYFUNCTION("""COMPUTED_VALUE"""),60.7)</f>
        <v>60.7</v>
      </c>
      <c r="C626" s="12">
        <f>IFERROR(__xludf.DUMMYFUNCTION("""COMPUTED_VALUE"""),44733.66666666667)</f>
        <v>44733.66667</v>
      </c>
      <c r="D626" s="11">
        <f>IFERROR(__xludf.DUMMYFUNCTION("""COMPUTED_VALUE"""),253.74)</f>
        <v>253.74</v>
      </c>
      <c r="E626" s="12">
        <f>IFERROR(__xludf.DUMMYFUNCTION("""COMPUTED_VALUE"""),44733.66666666667)</f>
        <v>44733.66667</v>
      </c>
      <c r="F626" s="11">
        <f>IFERROR(__xludf.DUMMYFUNCTION("""COMPUTED_VALUE"""),237.04)</f>
        <v>237.04</v>
      </c>
      <c r="G626" s="12">
        <f>IFERROR(__xludf.DUMMYFUNCTION("""COMPUTED_VALUE"""),44733.66666666667)</f>
        <v>44733.66667</v>
      </c>
      <c r="H626" s="11">
        <f>IFERROR(__xludf.DUMMYFUNCTION("""COMPUTED_VALUE"""),135.87)</f>
        <v>135.87</v>
      </c>
    </row>
    <row r="627" ht="15.75" customHeight="1">
      <c r="A627" s="12">
        <f>IFERROR(__xludf.DUMMYFUNCTION("""COMPUTED_VALUE"""),44734.66666666667)</f>
        <v>44734.66667</v>
      </c>
      <c r="B627" s="11">
        <f>IFERROR(__xludf.DUMMYFUNCTION("""COMPUTED_VALUE"""),61.15)</f>
        <v>61.15</v>
      </c>
      <c r="C627" s="12">
        <f>IFERROR(__xludf.DUMMYFUNCTION("""COMPUTED_VALUE"""),44734.66666666667)</f>
        <v>44734.66667</v>
      </c>
      <c r="D627" s="11">
        <f>IFERROR(__xludf.DUMMYFUNCTION("""COMPUTED_VALUE"""),253.13)</f>
        <v>253.13</v>
      </c>
      <c r="E627" s="12">
        <f>IFERROR(__xludf.DUMMYFUNCTION("""COMPUTED_VALUE"""),44734.66666666667)</f>
        <v>44734.66667</v>
      </c>
      <c r="F627" s="11">
        <f>IFERROR(__xludf.DUMMYFUNCTION("""COMPUTED_VALUE"""),236.09)</f>
        <v>236.09</v>
      </c>
      <c r="G627" s="12">
        <f>IFERROR(__xludf.DUMMYFUNCTION("""COMPUTED_VALUE"""),44734.66666666667)</f>
        <v>44734.66667</v>
      </c>
      <c r="H627" s="11">
        <f>IFERROR(__xludf.DUMMYFUNCTION("""COMPUTED_VALUE"""),135.35)</f>
        <v>135.35</v>
      </c>
    </row>
    <row r="628" ht="15.75" customHeight="1">
      <c r="A628" s="12">
        <f>IFERROR(__xludf.DUMMYFUNCTION("""COMPUTED_VALUE"""),44735.66666666667)</f>
        <v>44735.66667</v>
      </c>
      <c r="B628" s="11">
        <f>IFERROR(__xludf.DUMMYFUNCTION("""COMPUTED_VALUE"""),61.88)</f>
        <v>61.88</v>
      </c>
      <c r="C628" s="12">
        <f>IFERROR(__xludf.DUMMYFUNCTION("""COMPUTED_VALUE"""),44735.66666666667)</f>
        <v>44735.66667</v>
      </c>
      <c r="D628" s="11">
        <f>IFERROR(__xludf.DUMMYFUNCTION("""COMPUTED_VALUE"""),258.86)</f>
        <v>258.86</v>
      </c>
      <c r="E628" s="12">
        <f>IFERROR(__xludf.DUMMYFUNCTION("""COMPUTED_VALUE"""),44735.66666666667)</f>
        <v>44735.66667</v>
      </c>
      <c r="F628" s="11">
        <f>IFERROR(__xludf.DUMMYFUNCTION("""COMPUTED_VALUE"""),235.07)</f>
        <v>235.07</v>
      </c>
      <c r="G628" s="12">
        <f>IFERROR(__xludf.DUMMYFUNCTION("""COMPUTED_VALUE"""),44735.66666666667)</f>
        <v>44735.66667</v>
      </c>
      <c r="H628" s="11">
        <f>IFERROR(__xludf.DUMMYFUNCTION("""COMPUTED_VALUE"""),138.27)</f>
        <v>138.27</v>
      </c>
    </row>
    <row r="629" ht="15.75" customHeight="1">
      <c r="A629" s="12">
        <f>IFERROR(__xludf.DUMMYFUNCTION("""COMPUTED_VALUE"""),44736.66666666667)</f>
        <v>44736.66667</v>
      </c>
      <c r="B629" s="11">
        <f>IFERROR(__xludf.DUMMYFUNCTION("""COMPUTED_VALUE"""),63.04)</f>
        <v>63.04</v>
      </c>
      <c r="C629" s="12">
        <f>IFERROR(__xludf.DUMMYFUNCTION("""COMPUTED_VALUE"""),44736.66666666667)</f>
        <v>44736.66667</v>
      </c>
      <c r="D629" s="11">
        <f>IFERROR(__xludf.DUMMYFUNCTION("""COMPUTED_VALUE"""),267.7)</f>
        <v>267.7</v>
      </c>
      <c r="E629" s="12">
        <f>IFERROR(__xludf.DUMMYFUNCTION("""COMPUTED_VALUE"""),44736.66666666667)</f>
        <v>44736.66667</v>
      </c>
      <c r="F629" s="11">
        <f>IFERROR(__xludf.DUMMYFUNCTION("""COMPUTED_VALUE"""),245.71)</f>
        <v>245.71</v>
      </c>
      <c r="G629" s="12">
        <f>IFERROR(__xludf.DUMMYFUNCTION("""COMPUTED_VALUE"""),44736.66666666667)</f>
        <v>44736.66667</v>
      </c>
      <c r="H629" s="11">
        <f>IFERROR(__xludf.DUMMYFUNCTION("""COMPUTED_VALUE"""),141.66)</f>
        <v>141.66</v>
      </c>
    </row>
    <row r="630" ht="15.75" customHeight="1">
      <c r="A630" s="12">
        <f>IFERROR(__xludf.DUMMYFUNCTION("""COMPUTED_VALUE"""),44739.66666666667)</f>
        <v>44739.66667</v>
      </c>
      <c r="B630" s="11">
        <f>IFERROR(__xludf.DUMMYFUNCTION("""COMPUTED_VALUE"""),62.91)</f>
        <v>62.91</v>
      </c>
      <c r="C630" s="12">
        <f>IFERROR(__xludf.DUMMYFUNCTION("""COMPUTED_VALUE"""),44739.66666666667)</f>
        <v>44739.66667</v>
      </c>
      <c r="D630" s="11">
        <f>IFERROR(__xludf.DUMMYFUNCTION("""COMPUTED_VALUE"""),264.89)</f>
        <v>264.89</v>
      </c>
      <c r="E630" s="12">
        <f>IFERROR(__xludf.DUMMYFUNCTION("""COMPUTED_VALUE"""),44739.66666666667)</f>
        <v>44739.66667</v>
      </c>
      <c r="F630" s="11">
        <f>IFERROR(__xludf.DUMMYFUNCTION("""COMPUTED_VALUE"""),244.92)</f>
        <v>244.92</v>
      </c>
      <c r="G630" s="12">
        <f>IFERROR(__xludf.DUMMYFUNCTION("""COMPUTED_VALUE"""),44739.66666666667)</f>
        <v>44739.66667</v>
      </c>
      <c r="H630" s="11">
        <f>IFERROR(__xludf.DUMMYFUNCTION("""COMPUTED_VALUE"""),141.66)</f>
        <v>141.66</v>
      </c>
    </row>
    <row r="631" ht="15.75" customHeight="1">
      <c r="A631" s="12">
        <f>IFERROR(__xludf.DUMMYFUNCTION("""COMPUTED_VALUE"""),44740.66666666667)</f>
        <v>44740.66667</v>
      </c>
      <c r="B631" s="11">
        <f>IFERROR(__xludf.DUMMYFUNCTION("""COMPUTED_VALUE"""),62.28)</f>
        <v>62.28</v>
      </c>
      <c r="C631" s="12">
        <f>IFERROR(__xludf.DUMMYFUNCTION("""COMPUTED_VALUE"""),44740.66666666667)</f>
        <v>44740.66667</v>
      </c>
      <c r="D631" s="11">
        <f>IFERROR(__xludf.DUMMYFUNCTION("""COMPUTED_VALUE"""),256.48)</f>
        <v>256.48</v>
      </c>
      <c r="E631" s="12">
        <f>IFERROR(__xludf.DUMMYFUNCTION("""COMPUTED_VALUE"""),44740.66666666667)</f>
        <v>44740.66667</v>
      </c>
      <c r="F631" s="11">
        <f>IFERROR(__xludf.DUMMYFUNCTION("""COMPUTED_VALUE"""),232.66)</f>
        <v>232.66</v>
      </c>
      <c r="G631" s="12">
        <f>IFERROR(__xludf.DUMMYFUNCTION("""COMPUTED_VALUE"""),44740.66666666667)</f>
        <v>44740.66667</v>
      </c>
      <c r="H631" s="11">
        <f>IFERROR(__xludf.DUMMYFUNCTION("""COMPUTED_VALUE"""),137.44)</f>
        <v>137.44</v>
      </c>
    </row>
    <row r="632" ht="15.75" customHeight="1">
      <c r="A632" s="12">
        <f>IFERROR(__xludf.DUMMYFUNCTION("""COMPUTED_VALUE"""),44741.66666666667)</f>
        <v>44741.66667</v>
      </c>
      <c r="B632" s="11">
        <f>IFERROR(__xludf.DUMMYFUNCTION("""COMPUTED_VALUE"""),62.73)</f>
        <v>62.73</v>
      </c>
      <c r="C632" s="12">
        <f>IFERROR(__xludf.DUMMYFUNCTION("""COMPUTED_VALUE"""),44741.66666666667)</f>
        <v>44741.66667</v>
      </c>
      <c r="D632" s="11">
        <f>IFERROR(__xludf.DUMMYFUNCTION("""COMPUTED_VALUE"""),260.26)</f>
        <v>260.26</v>
      </c>
      <c r="E632" s="12">
        <f>IFERROR(__xludf.DUMMYFUNCTION("""COMPUTED_VALUE"""),44741.66666666667)</f>
        <v>44741.66667</v>
      </c>
      <c r="F632" s="11">
        <f>IFERROR(__xludf.DUMMYFUNCTION("""COMPUTED_VALUE"""),228.49)</f>
        <v>228.49</v>
      </c>
      <c r="G632" s="12">
        <f>IFERROR(__xludf.DUMMYFUNCTION("""COMPUTED_VALUE"""),44741.66666666667)</f>
        <v>44741.66667</v>
      </c>
      <c r="H632" s="11">
        <f>IFERROR(__xludf.DUMMYFUNCTION("""COMPUTED_VALUE"""),139.23)</f>
        <v>139.23</v>
      </c>
    </row>
    <row r="633" ht="15.75" customHeight="1">
      <c r="A633" s="12">
        <f>IFERROR(__xludf.DUMMYFUNCTION("""COMPUTED_VALUE"""),44742.66666666667)</f>
        <v>44742.66667</v>
      </c>
      <c r="B633" s="11">
        <f>IFERROR(__xludf.DUMMYFUNCTION("""COMPUTED_VALUE"""),62.91)</f>
        <v>62.91</v>
      </c>
      <c r="C633" s="12">
        <f>IFERROR(__xludf.DUMMYFUNCTION("""COMPUTED_VALUE"""),44742.66666666667)</f>
        <v>44742.66667</v>
      </c>
      <c r="D633" s="11">
        <f>IFERROR(__xludf.DUMMYFUNCTION("""COMPUTED_VALUE"""),256.83)</f>
        <v>256.83</v>
      </c>
      <c r="E633" s="12">
        <f>IFERROR(__xludf.DUMMYFUNCTION("""COMPUTED_VALUE"""),44742.66666666667)</f>
        <v>44742.66667</v>
      </c>
      <c r="F633" s="11">
        <f>IFERROR(__xludf.DUMMYFUNCTION("""COMPUTED_VALUE"""),224.47)</f>
        <v>224.47</v>
      </c>
      <c r="G633" s="12">
        <f>IFERROR(__xludf.DUMMYFUNCTION("""COMPUTED_VALUE"""),44742.66666666667)</f>
        <v>44742.66667</v>
      </c>
      <c r="H633" s="11">
        <f>IFERROR(__xludf.DUMMYFUNCTION("""COMPUTED_VALUE"""),136.72)</f>
        <v>136.72</v>
      </c>
    </row>
    <row r="634" ht="15.75" customHeight="1">
      <c r="A634" s="12">
        <f>IFERROR(__xludf.DUMMYFUNCTION("""COMPUTED_VALUE"""),44743.66666666667)</f>
        <v>44743.66667</v>
      </c>
      <c r="B634" s="11">
        <f>IFERROR(__xludf.DUMMYFUNCTION("""COMPUTED_VALUE"""),64.38)</f>
        <v>64.38</v>
      </c>
      <c r="C634" s="12">
        <f>IFERROR(__xludf.DUMMYFUNCTION("""COMPUTED_VALUE"""),44743.66666666667)</f>
        <v>44743.66667</v>
      </c>
      <c r="D634" s="11">
        <f>IFERROR(__xludf.DUMMYFUNCTION("""COMPUTED_VALUE"""),259.58)</f>
        <v>259.58</v>
      </c>
      <c r="E634" s="12">
        <f>IFERROR(__xludf.DUMMYFUNCTION("""COMPUTED_VALUE"""),44743.66666666667)</f>
        <v>44743.66667</v>
      </c>
      <c r="F634" s="11">
        <f>IFERROR(__xludf.DUMMYFUNCTION("""COMPUTED_VALUE"""),227.26)</f>
        <v>227.26</v>
      </c>
      <c r="G634" s="12">
        <f>IFERROR(__xludf.DUMMYFUNCTION("""COMPUTED_VALUE"""),44743.66666666667)</f>
        <v>44743.66667</v>
      </c>
      <c r="H634" s="11">
        <f>IFERROR(__xludf.DUMMYFUNCTION("""COMPUTED_VALUE"""),138.93)</f>
        <v>138.93</v>
      </c>
    </row>
    <row r="635" ht="15.75" customHeight="1">
      <c r="A635" s="12">
        <f>IFERROR(__xludf.DUMMYFUNCTION("""COMPUTED_VALUE"""),44747.66666666667)</f>
        <v>44747.66667</v>
      </c>
      <c r="B635" s="11">
        <f>IFERROR(__xludf.DUMMYFUNCTION("""COMPUTED_VALUE"""),63.28)</f>
        <v>63.28</v>
      </c>
      <c r="C635" s="12">
        <f>IFERROR(__xludf.DUMMYFUNCTION("""COMPUTED_VALUE"""),44747.66666666667)</f>
        <v>44747.66667</v>
      </c>
      <c r="D635" s="11">
        <f>IFERROR(__xludf.DUMMYFUNCTION("""COMPUTED_VALUE"""),262.85)</f>
        <v>262.85</v>
      </c>
      <c r="E635" s="12">
        <f>IFERROR(__xludf.DUMMYFUNCTION("""COMPUTED_VALUE"""),44747.66666666667)</f>
        <v>44747.66667</v>
      </c>
      <c r="F635" s="11">
        <f>IFERROR(__xludf.DUMMYFUNCTION("""COMPUTED_VALUE"""),233.07)</f>
        <v>233.07</v>
      </c>
      <c r="G635" s="12">
        <f>IFERROR(__xludf.DUMMYFUNCTION("""COMPUTED_VALUE"""),44747.66666666667)</f>
        <v>44747.66667</v>
      </c>
      <c r="H635" s="11">
        <f>IFERROR(__xludf.DUMMYFUNCTION("""COMPUTED_VALUE"""),141.56)</f>
        <v>141.56</v>
      </c>
    </row>
    <row r="636" ht="15.75" customHeight="1">
      <c r="A636" s="12">
        <f>IFERROR(__xludf.DUMMYFUNCTION("""COMPUTED_VALUE"""),44748.66666666667)</f>
        <v>44748.66667</v>
      </c>
      <c r="B636" s="11">
        <f>IFERROR(__xludf.DUMMYFUNCTION("""COMPUTED_VALUE"""),63.41)</f>
        <v>63.41</v>
      </c>
      <c r="C636" s="12">
        <f>IFERROR(__xludf.DUMMYFUNCTION("""COMPUTED_VALUE"""),44748.66666666667)</f>
        <v>44748.66667</v>
      </c>
      <c r="D636" s="11">
        <f>IFERROR(__xludf.DUMMYFUNCTION("""COMPUTED_VALUE"""),266.21)</f>
        <v>266.21</v>
      </c>
      <c r="E636" s="12">
        <f>IFERROR(__xludf.DUMMYFUNCTION("""COMPUTED_VALUE"""),44748.66666666667)</f>
        <v>44748.66667</v>
      </c>
      <c r="F636" s="11">
        <f>IFERROR(__xludf.DUMMYFUNCTION("""COMPUTED_VALUE"""),231.73)</f>
        <v>231.73</v>
      </c>
      <c r="G636" s="12">
        <f>IFERROR(__xludf.DUMMYFUNCTION("""COMPUTED_VALUE"""),44748.66666666667)</f>
        <v>44748.66667</v>
      </c>
      <c r="H636" s="11">
        <f>IFERROR(__xludf.DUMMYFUNCTION("""COMPUTED_VALUE"""),142.92)</f>
        <v>142.92</v>
      </c>
    </row>
    <row r="637" ht="15.75" customHeight="1">
      <c r="A637" s="12">
        <f>IFERROR(__xludf.DUMMYFUNCTION("""COMPUTED_VALUE"""),44749.66666666667)</f>
        <v>44749.66667</v>
      </c>
      <c r="B637" s="11">
        <f>IFERROR(__xludf.DUMMYFUNCTION("""COMPUTED_VALUE"""),62.91)</f>
        <v>62.91</v>
      </c>
      <c r="C637" s="12">
        <f>IFERROR(__xludf.DUMMYFUNCTION("""COMPUTED_VALUE"""),44749.66666666667)</f>
        <v>44749.66667</v>
      </c>
      <c r="D637" s="11">
        <f>IFERROR(__xludf.DUMMYFUNCTION("""COMPUTED_VALUE"""),268.4)</f>
        <v>268.4</v>
      </c>
      <c r="E637" s="12">
        <f>IFERROR(__xludf.DUMMYFUNCTION("""COMPUTED_VALUE"""),44749.66666666667)</f>
        <v>44749.66667</v>
      </c>
      <c r="F637" s="11">
        <f>IFERROR(__xludf.DUMMYFUNCTION("""COMPUTED_VALUE"""),244.54)</f>
        <v>244.54</v>
      </c>
      <c r="G637" s="12">
        <f>IFERROR(__xludf.DUMMYFUNCTION("""COMPUTED_VALUE"""),44749.66666666667)</f>
        <v>44749.66667</v>
      </c>
      <c r="H637" s="11">
        <f>IFERROR(__xludf.DUMMYFUNCTION("""COMPUTED_VALUE"""),146.35)</f>
        <v>146.35</v>
      </c>
    </row>
    <row r="638" ht="15.75" customHeight="1">
      <c r="A638" s="12">
        <f>IFERROR(__xludf.DUMMYFUNCTION("""COMPUTED_VALUE"""),44750.66666666667)</f>
        <v>44750.66667</v>
      </c>
      <c r="B638" s="11">
        <f>IFERROR(__xludf.DUMMYFUNCTION("""COMPUTED_VALUE"""),63.14)</f>
        <v>63.14</v>
      </c>
      <c r="C638" s="12">
        <f>IFERROR(__xludf.DUMMYFUNCTION("""COMPUTED_VALUE"""),44750.66666666667)</f>
        <v>44750.66667</v>
      </c>
      <c r="D638" s="11">
        <f>IFERROR(__xludf.DUMMYFUNCTION("""COMPUTED_VALUE"""),267.66)</f>
        <v>267.66</v>
      </c>
      <c r="E638" s="12">
        <f>IFERROR(__xludf.DUMMYFUNCTION("""COMPUTED_VALUE"""),44750.66666666667)</f>
        <v>44750.66667</v>
      </c>
      <c r="F638" s="11">
        <f>IFERROR(__xludf.DUMMYFUNCTION("""COMPUTED_VALUE"""),250.76)</f>
        <v>250.76</v>
      </c>
      <c r="G638" s="12">
        <f>IFERROR(__xludf.DUMMYFUNCTION("""COMPUTED_VALUE"""),44750.66666666667)</f>
        <v>44750.66667</v>
      </c>
      <c r="H638" s="11">
        <f>IFERROR(__xludf.DUMMYFUNCTION("""COMPUTED_VALUE"""),147.04)</f>
        <v>147.04</v>
      </c>
    </row>
    <row r="639" ht="15.75" customHeight="1">
      <c r="A639" s="12">
        <f>IFERROR(__xludf.DUMMYFUNCTION("""COMPUTED_VALUE"""),44753.66666666667)</f>
        <v>44753.66667</v>
      </c>
      <c r="B639" s="11">
        <f>IFERROR(__xludf.DUMMYFUNCTION("""COMPUTED_VALUE"""),62.94)</f>
        <v>62.94</v>
      </c>
      <c r="C639" s="12">
        <f>IFERROR(__xludf.DUMMYFUNCTION("""COMPUTED_VALUE"""),44753.66666666667)</f>
        <v>44753.66667</v>
      </c>
      <c r="D639" s="11">
        <f>IFERROR(__xludf.DUMMYFUNCTION("""COMPUTED_VALUE"""),264.51)</f>
        <v>264.51</v>
      </c>
      <c r="E639" s="12">
        <f>IFERROR(__xludf.DUMMYFUNCTION("""COMPUTED_VALUE"""),44753.66666666667)</f>
        <v>44753.66667</v>
      </c>
      <c r="F639" s="11">
        <f>IFERROR(__xludf.DUMMYFUNCTION("""COMPUTED_VALUE"""),234.34)</f>
        <v>234.34</v>
      </c>
      <c r="G639" s="12">
        <f>IFERROR(__xludf.DUMMYFUNCTION("""COMPUTED_VALUE"""),44753.66666666667)</f>
        <v>44753.66667</v>
      </c>
      <c r="H639" s="11">
        <f>IFERROR(__xludf.DUMMYFUNCTION("""COMPUTED_VALUE"""),144.87)</f>
        <v>144.87</v>
      </c>
    </row>
    <row r="640" ht="15.75" customHeight="1">
      <c r="A640" s="12">
        <f>IFERROR(__xludf.DUMMYFUNCTION("""COMPUTED_VALUE"""),44754.66666666667)</f>
        <v>44754.66667</v>
      </c>
      <c r="B640" s="11">
        <f>IFERROR(__xludf.DUMMYFUNCTION("""COMPUTED_VALUE"""),62.67)</f>
        <v>62.67</v>
      </c>
      <c r="C640" s="12">
        <f>IFERROR(__xludf.DUMMYFUNCTION("""COMPUTED_VALUE"""),44754.66666666667)</f>
        <v>44754.66667</v>
      </c>
      <c r="D640" s="11">
        <f>IFERROR(__xludf.DUMMYFUNCTION("""COMPUTED_VALUE"""),253.67)</f>
        <v>253.67</v>
      </c>
      <c r="E640" s="12">
        <f>IFERROR(__xludf.DUMMYFUNCTION("""COMPUTED_VALUE"""),44754.66666666667)</f>
        <v>44754.66667</v>
      </c>
      <c r="F640" s="11">
        <f>IFERROR(__xludf.DUMMYFUNCTION("""COMPUTED_VALUE"""),233.07)</f>
        <v>233.07</v>
      </c>
      <c r="G640" s="12">
        <f>IFERROR(__xludf.DUMMYFUNCTION("""COMPUTED_VALUE"""),44754.66666666667)</f>
        <v>44754.66667</v>
      </c>
      <c r="H640" s="11">
        <f>IFERROR(__xludf.DUMMYFUNCTION("""COMPUTED_VALUE"""),145.86)</f>
        <v>145.86</v>
      </c>
    </row>
    <row r="641" ht="15.75" customHeight="1">
      <c r="A641" s="12">
        <f>IFERROR(__xludf.DUMMYFUNCTION("""COMPUTED_VALUE"""),44755.66666666667)</f>
        <v>44755.66667</v>
      </c>
      <c r="B641" s="11">
        <f>IFERROR(__xludf.DUMMYFUNCTION("""COMPUTED_VALUE"""),62.38)</f>
        <v>62.38</v>
      </c>
      <c r="C641" s="12">
        <f>IFERROR(__xludf.DUMMYFUNCTION("""COMPUTED_VALUE"""),44755.66666666667)</f>
        <v>44755.66667</v>
      </c>
      <c r="D641" s="11">
        <f>IFERROR(__xludf.DUMMYFUNCTION("""COMPUTED_VALUE"""),252.72)</f>
        <v>252.72</v>
      </c>
      <c r="E641" s="12">
        <f>IFERROR(__xludf.DUMMYFUNCTION("""COMPUTED_VALUE"""),44755.66666666667)</f>
        <v>44755.66667</v>
      </c>
      <c r="F641" s="11">
        <f>IFERROR(__xludf.DUMMYFUNCTION("""COMPUTED_VALUE"""),237.04)</f>
        <v>237.04</v>
      </c>
      <c r="G641" s="12">
        <f>IFERROR(__xludf.DUMMYFUNCTION("""COMPUTED_VALUE"""),44755.66666666667)</f>
        <v>44755.66667</v>
      </c>
      <c r="H641" s="11">
        <f>IFERROR(__xludf.DUMMYFUNCTION("""COMPUTED_VALUE"""),145.49)</f>
        <v>145.49</v>
      </c>
    </row>
    <row r="642" ht="15.75" customHeight="1">
      <c r="A642" s="12">
        <f>IFERROR(__xludf.DUMMYFUNCTION("""COMPUTED_VALUE"""),44756.66666666667)</f>
        <v>44756.66667</v>
      </c>
      <c r="B642" s="11">
        <f>IFERROR(__xludf.DUMMYFUNCTION("""COMPUTED_VALUE"""),62.18)</f>
        <v>62.18</v>
      </c>
      <c r="C642" s="12">
        <f>IFERROR(__xludf.DUMMYFUNCTION("""COMPUTED_VALUE"""),44756.66666666667)</f>
        <v>44756.66667</v>
      </c>
      <c r="D642" s="11">
        <f>IFERROR(__xludf.DUMMYFUNCTION("""COMPUTED_VALUE"""),254.08)</f>
        <v>254.08</v>
      </c>
      <c r="E642" s="12">
        <f>IFERROR(__xludf.DUMMYFUNCTION("""COMPUTED_VALUE"""),44756.66666666667)</f>
        <v>44756.66667</v>
      </c>
      <c r="F642" s="11">
        <f>IFERROR(__xludf.DUMMYFUNCTION("""COMPUTED_VALUE"""),238.31)</f>
        <v>238.31</v>
      </c>
      <c r="G642" s="12">
        <f>IFERROR(__xludf.DUMMYFUNCTION("""COMPUTED_VALUE"""),44756.66666666667)</f>
        <v>44756.66667</v>
      </c>
      <c r="H642" s="11">
        <f>IFERROR(__xludf.DUMMYFUNCTION("""COMPUTED_VALUE"""),148.47)</f>
        <v>148.47</v>
      </c>
    </row>
    <row r="643" ht="15.75" customHeight="1">
      <c r="A643" s="12">
        <f>IFERROR(__xludf.DUMMYFUNCTION("""COMPUTED_VALUE"""),44757.66666666667)</f>
        <v>44757.66667</v>
      </c>
      <c r="B643" s="11">
        <f>IFERROR(__xludf.DUMMYFUNCTION("""COMPUTED_VALUE"""),62.5)</f>
        <v>62.5</v>
      </c>
      <c r="C643" s="12">
        <f>IFERROR(__xludf.DUMMYFUNCTION("""COMPUTED_VALUE"""),44757.66666666667)</f>
        <v>44757.66667</v>
      </c>
      <c r="D643" s="11">
        <f>IFERROR(__xludf.DUMMYFUNCTION("""COMPUTED_VALUE"""),256.72)</f>
        <v>256.72</v>
      </c>
      <c r="E643" s="12">
        <f>IFERROR(__xludf.DUMMYFUNCTION("""COMPUTED_VALUE"""),44757.66666666667)</f>
        <v>44757.66667</v>
      </c>
      <c r="F643" s="11">
        <f>IFERROR(__xludf.DUMMYFUNCTION("""COMPUTED_VALUE"""),240.07)</f>
        <v>240.07</v>
      </c>
      <c r="G643" s="12">
        <f>IFERROR(__xludf.DUMMYFUNCTION("""COMPUTED_VALUE"""),44757.66666666667)</f>
        <v>44757.66667</v>
      </c>
      <c r="H643" s="11">
        <f>IFERROR(__xludf.DUMMYFUNCTION("""COMPUTED_VALUE"""),150.17)</f>
        <v>150.17</v>
      </c>
    </row>
    <row r="644" ht="15.75" customHeight="1">
      <c r="A644" s="12">
        <f>IFERROR(__xludf.DUMMYFUNCTION("""COMPUTED_VALUE"""),44760.66666666667)</f>
        <v>44760.66667</v>
      </c>
      <c r="B644" s="11">
        <f>IFERROR(__xludf.DUMMYFUNCTION("""COMPUTED_VALUE"""),61.65)</f>
        <v>61.65</v>
      </c>
      <c r="C644" s="12">
        <f>IFERROR(__xludf.DUMMYFUNCTION("""COMPUTED_VALUE"""),44760.66666666667)</f>
        <v>44760.66667</v>
      </c>
      <c r="D644" s="11">
        <f>IFERROR(__xludf.DUMMYFUNCTION("""COMPUTED_VALUE"""),254.25)</f>
        <v>254.25</v>
      </c>
      <c r="E644" s="12">
        <f>IFERROR(__xludf.DUMMYFUNCTION("""COMPUTED_VALUE"""),44760.66666666667)</f>
        <v>44760.66667</v>
      </c>
      <c r="F644" s="11">
        <f>IFERROR(__xludf.DUMMYFUNCTION("""COMPUTED_VALUE"""),240.55)</f>
        <v>240.55</v>
      </c>
      <c r="G644" s="12">
        <f>IFERROR(__xludf.DUMMYFUNCTION("""COMPUTED_VALUE"""),44760.66666666667)</f>
        <v>44760.66667</v>
      </c>
      <c r="H644" s="11">
        <f>IFERROR(__xludf.DUMMYFUNCTION("""COMPUTED_VALUE"""),147.07)</f>
        <v>147.07</v>
      </c>
    </row>
    <row r="645" ht="15.75" customHeight="1">
      <c r="A645" s="12">
        <f>IFERROR(__xludf.DUMMYFUNCTION("""COMPUTED_VALUE"""),44761.66666666667)</f>
        <v>44761.66667</v>
      </c>
      <c r="B645" s="11">
        <f>IFERROR(__xludf.DUMMYFUNCTION("""COMPUTED_VALUE"""),62.53)</f>
        <v>62.53</v>
      </c>
      <c r="C645" s="12">
        <f>IFERROR(__xludf.DUMMYFUNCTION("""COMPUTED_VALUE"""),44761.66666666667)</f>
        <v>44761.66667</v>
      </c>
      <c r="D645" s="11">
        <f>IFERROR(__xludf.DUMMYFUNCTION("""COMPUTED_VALUE"""),259.53)</f>
        <v>259.53</v>
      </c>
      <c r="E645" s="12">
        <f>IFERROR(__xludf.DUMMYFUNCTION("""COMPUTED_VALUE"""),44761.66666666667)</f>
        <v>44761.66667</v>
      </c>
      <c r="F645" s="11">
        <f>IFERROR(__xludf.DUMMYFUNCTION("""COMPUTED_VALUE"""),245.53)</f>
        <v>245.53</v>
      </c>
      <c r="G645" s="12">
        <f>IFERROR(__xludf.DUMMYFUNCTION("""COMPUTED_VALUE"""),44761.66666666667)</f>
        <v>44761.66667</v>
      </c>
      <c r="H645" s="11">
        <f>IFERROR(__xludf.DUMMYFUNCTION("""COMPUTED_VALUE"""),151.0)</f>
        <v>151</v>
      </c>
    </row>
    <row r="646" ht="15.75" customHeight="1">
      <c r="A646" s="12">
        <f>IFERROR(__xludf.DUMMYFUNCTION("""COMPUTED_VALUE"""),44762.66666666667)</f>
        <v>44762.66667</v>
      </c>
      <c r="B646" s="11">
        <f>IFERROR(__xludf.DUMMYFUNCTION("""COMPUTED_VALUE"""),61.5)</f>
        <v>61.5</v>
      </c>
      <c r="C646" s="12">
        <f>IFERROR(__xludf.DUMMYFUNCTION("""COMPUTED_VALUE"""),44762.66666666667)</f>
        <v>44762.66667</v>
      </c>
      <c r="D646" s="11">
        <f>IFERROR(__xludf.DUMMYFUNCTION("""COMPUTED_VALUE"""),262.27)</f>
        <v>262.27</v>
      </c>
      <c r="E646" s="12">
        <f>IFERROR(__xludf.DUMMYFUNCTION("""COMPUTED_VALUE"""),44762.66666666667)</f>
        <v>44762.66667</v>
      </c>
      <c r="F646" s="11">
        <f>IFERROR(__xludf.DUMMYFUNCTION("""COMPUTED_VALUE"""),247.5)</f>
        <v>247.5</v>
      </c>
      <c r="G646" s="12">
        <f>IFERROR(__xludf.DUMMYFUNCTION("""COMPUTED_VALUE"""),44762.66666666667)</f>
        <v>44762.66667</v>
      </c>
      <c r="H646" s="11">
        <f>IFERROR(__xludf.DUMMYFUNCTION("""COMPUTED_VALUE"""),153.04)</f>
        <v>153.04</v>
      </c>
    </row>
    <row r="647" ht="15.75" customHeight="1">
      <c r="A647" s="12">
        <f>IFERROR(__xludf.DUMMYFUNCTION("""COMPUTED_VALUE"""),44763.66666666667)</f>
        <v>44763.66667</v>
      </c>
      <c r="B647" s="11">
        <f>IFERROR(__xludf.DUMMYFUNCTION("""COMPUTED_VALUE"""),61.36)</f>
        <v>61.36</v>
      </c>
      <c r="C647" s="12">
        <f>IFERROR(__xludf.DUMMYFUNCTION("""COMPUTED_VALUE"""),44763.66666666667)</f>
        <v>44763.66667</v>
      </c>
      <c r="D647" s="11">
        <f>IFERROR(__xludf.DUMMYFUNCTION("""COMPUTED_VALUE"""),264.84)</f>
        <v>264.84</v>
      </c>
      <c r="E647" s="12">
        <f>IFERROR(__xludf.DUMMYFUNCTION("""COMPUTED_VALUE"""),44763.66666666667)</f>
        <v>44763.66667</v>
      </c>
      <c r="F647" s="11">
        <f>IFERROR(__xludf.DUMMYFUNCTION("""COMPUTED_VALUE"""),271.71)</f>
        <v>271.71</v>
      </c>
      <c r="G647" s="12">
        <f>IFERROR(__xludf.DUMMYFUNCTION("""COMPUTED_VALUE"""),44763.66666666667)</f>
        <v>44763.66667</v>
      </c>
      <c r="H647" s="11">
        <f>IFERROR(__xludf.DUMMYFUNCTION("""COMPUTED_VALUE"""),155.35)</f>
        <v>155.35</v>
      </c>
    </row>
    <row r="648" ht="15.75" customHeight="1">
      <c r="A648" s="12">
        <f>IFERROR(__xludf.DUMMYFUNCTION("""COMPUTED_VALUE"""),44764.66666666667)</f>
        <v>44764.66667</v>
      </c>
      <c r="B648" s="11">
        <f>IFERROR(__xludf.DUMMYFUNCTION("""COMPUTED_VALUE"""),61.59)</f>
        <v>61.59</v>
      </c>
      <c r="C648" s="12">
        <f>IFERROR(__xludf.DUMMYFUNCTION("""COMPUTED_VALUE"""),44764.66666666667)</f>
        <v>44764.66667</v>
      </c>
      <c r="D648" s="11">
        <f>IFERROR(__xludf.DUMMYFUNCTION("""COMPUTED_VALUE"""),260.36)</f>
        <v>260.36</v>
      </c>
      <c r="E648" s="12">
        <f>IFERROR(__xludf.DUMMYFUNCTION("""COMPUTED_VALUE"""),44764.66666666667)</f>
        <v>44764.66667</v>
      </c>
      <c r="F648" s="11">
        <f>IFERROR(__xludf.DUMMYFUNCTION("""COMPUTED_VALUE"""),272.24)</f>
        <v>272.24</v>
      </c>
      <c r="G648" s="12">
        <f>IFERROR(__xludf.DUMMYFUNCTION("""COMPUTED_VALUE"""),44764.66666666667)</f>
        <v>44764.66667</v>
      </c>
      <c r="H648" s="11">
        <f>IFERROR(__xludf.DUMMYFUNCTION("""COMPUTED_VALUE"""),154.09)</f>
        <v>154.09</v>
      </c>
    </row>
    <row r="649" ht="15.75" customHeight="1">
      <c r="A649" s="12">
        <f>IFERROR(__xludf.DUMMYFUNCTION("""COMPUTED_VALUE"""),44767.66666666667)</f>
        <v>44767.66667</v>
      </c>
      <c r="B649" s="11">
        <f>IFERROR(__xludf.DUMMYFUNCTION("""COMPUTED_VALUE"""),62.19)</f>
        <v>62.19</v>
      </c>
      <c r="C649" s="12">
        <f>IFERROR(__xludf.DUMMYFUNCTION("""COMPUTED_VALUE"""),44767.66666666667)</f>
        <v>44767.66667</v>
      </c>
      <c r="D649" s="11">
        <f>IFERROR(__xludf.DUMMYFUNCTION("""COMPUTED_VALUE"""),258.83)</f>
        <v>258.83</v>
      </c>
      <c r="E649" s="12">
        <f>IFERROR(__xludf.DUMMYFUNCTION("""COMPUTED_VALUE"""),44767.66666666667)</f>
        <v>44767.66667</v>
      </c>
      <c r="F649" s="11">
        <f>IFERROR(__xludf.DUMMYFUNCTION("""COMPUTED_VALUE"""),268.43)</f>
        <v>268.43</v>
      </c>
      <c r="G649" s="12">
        <f>IFERROR(__xludf.DUMMYFUNCTION("""COMPUTED_VALUE"""),44767.66666666667)</f>
        <v>44767.66667</v>
      </c>
      <c r="H649" s="11">
        <f>IFERROR(__xludf.DUMMYFUNCTION("""COMPUTED_VALUE"""),152.95)</f>
        <v>152.95</v>
      </c>
    </row>
    <row r="650" ht="15.75" customHeight="1">
      <c r="A650" s="12">
        <f>IFERROR(__xludf.DUMMYFUNCTION("""COMPUTED_VALUE"""),44768.66666666667)</f>
        <v>44768.66667</v>
      </c>
      <c r="B650" s="11">
        <f>IFERROR(__xludf.DUMMYFUNCTION("""COMPUTED_VALUE"""),63.21)</f>
        <v>63.21</v>
      </c>
      <c r="C650" s="12">
        <f>IFERROR(__xludf.DUMMYFUNCTION("""COMPUTED_VALUE"""),44768.66666666667)</f>
        <v>44768.66667</v>
      </c>
      <c r="D650" s="11">
        <f>IFERROR(__xludf.DUMMYFUNCTION("""COMPUTED_VALUE"""),251.9)</f>
        <v>251.9</v>
      </c>
      <c r="E650" s="12">
        <f>IFERROR(__xludf.DUMMYFUNCTION("""COMPUTED_VALUE"""),44768.66666666667)</f>
        <v>44768.66667</v>
      </c>
      <c r="F650" s="11">
        <f>IFERROR(__xludf.DUMMYFUNCTION("""COMPUTED_VALUE"""),258.86)</f>
        <v>258.86</v>
      </c>
      <c r="G650" s="12">
        <f>IFERROR(__xludf.DUMMYFUNCTION("""COMPUTED_VALUE"""),44768.66666666667)</f>
        <v>44768.66667</v>
      </c>
      <c r="H650" s="11">
        <f>IFERROR(__xludf.DUMMYFUNCTION("""COMPUTED_VALUE"""),151.6)</f>
        <v>151.6</v>
      </c>
    </row>
    <row r="651" ht="15.75" customHeight="1">
      <c r="A651" s="12">
        <f>IFERROR(__xludf.DUMMYFUNCTION("""COMPUTED_VALUE"""),44769.66666666667)</f>
        <v>44769.66667</v>
      </c>
      <c r="B651" s="11">
        <f>IFERROR(__xludf.DUMMYFUNCTION("""COMPUTED_VALUE"""),63.01)</f>
        <v>63.01</v>
      </c>
      <c r="C651" s="12">
        <f>IFERROR(__xludf.DUMMYFUNCTION("""COMPUTED_VALUE"""),44769.66666666667)</f>
        <v>44769.66667</v>
      </c>
      <c r="D651" s="11">
        <f>IFERROR(__xludf.DUMMYFUNCTION("""COMPUTED_VALUE"""),268.74)</f>
        <v>268.74</v>
      </c>
      <c r="E651" s="12">
        <f>IFERROR(__xludf.DUMMYFUNCTION("""COMPUTED_VALUE"""),44769.66666666667)</f>
        <v>44769.66667</v>
      </c>
      <c r="F651" s="11">
        <f>IFERROR(__xludf.DUMMYFUNCTION("""COMPUTED_VALUE"""),274.82)</f>
        <v>274.82</v>
      </c>
      <c r="G651" s="12">
        <f>IFERROR(__xludf.DUMMYFUNCTION("""COMPUTED_VALUE"""),44769.66666666667)</f>
        <v>44769.66667</v>
      </c>
      <c r="H651" s="11">
        <f>IFERROR(__xludf.DUMMYFUNCTION("""COMPUTED_VALUE"""),156.79)</f>
        <v>156.79</v>
      </c>
    </row>
    <row r="652" ht="15.75" customHeight="1">
      <c r="A652" s="12">
        <f>IFERROR(__xludf.DUMMYFUNCTION("""COMPUTED_VALUE"""),44770.66666666667)</f>
        <v>44770.66667</v>
      </c>
      <c r="B652" s="11">
        <f>IFERROR(__xludf.DUMMYFUNCTION("""COMPUTED_VALUE"""),64.06)</f>
        <v>64.06</v>
      </c>
      <c r="C652" s="12">
        <f>IFERROR(__xludf.DUMMYFUNCTION("""COMPUTED_VALUE"""),44770.66666666667)</f>
        <v>44770.66667</v>
      </c>
      <c r="D652" s="11">
        <f>IFERROR(__xludf.DUMMYFUNCTION("""COMPUTED_VALUE"""),276.41)</f>
        <v>276.41</v>
      </c>
      <c r="E652" s="12">
        <f>IFERROR(__xludf.DUMMYFUNCTION("""COMPUTED_VALUE"""),44770.66666666667)</f>
        <v>44770.66667</v>
      </c>
      <c r="F652" s="11">
        <f>IFERROR(__xludf.DUMMYFUNCTION("""COMPUTED_VALUE"""),280.9)</f>
        <v>280.9</v>
      </c>
      <c r="G652" s="12">
        <f>IFERROR(__xludf.DUMMYFUNCTION("""COMPUTED_VALUE"""),44770.66666666667)</f>
        <v>44770.66667</v>
      </c>
      <c r="H652" s="11">
        <f>IFERROR(__xludf.DUMMYFUNCTION("""COMPUTED_VALUE"""),157.35)</f>
        <v>157.35</v>
      </c>
    </row>
    <row r="653" ht="15.75" customHeight="1">
      <c r="A653" s="12">
        <f>IFERROR(__xludf.DUMMYFUNCTION("""COMPUTED_VALUE"""),44771.66666666667)</f>
        <v>44771.66667</v>
      </c>
      <c r="B653" s="11">
        <f>IFERROR(__xludf.DUMMYFUNCTION("""COMPUTED_VALUE"""),64.17)</f>
        <v>64.17</v>
      </c>
      <c r="C653" s="12">
        <f>IFERROR(__xludf.DUMMYFUNCTION("""COMPUTED_VALUE"""),44771.66666666667)</f>
        <v>44771.66667</v>
      </c>
      <c r="D653" s="11">
        <f>IFERROR(__xludf.DUMMYFUNCTION("""COMPUTED_VALUE"""),280.74)</f>
        <v>280.74</v>
      </c>
      <c r="E653" s="12">
        <f>IFERROR(__xludf.DUMMYFUNCTION("""COMPUTED_VALUE"""),44771.66666666667)</f>
        <v>44771.66667</v>
      </c>
      <c r="F653" s="11">
        <f>IFERROR(__xludf.DUMMYFUNCTION("""COMPUTED_VALUE"""),297.15)</f>
        <v>297.15</v>
      </c>
      <c r="G653" s="12">
        <f>IFERROR(__xludf.DUMMYFUNCTION("""COMPUTED_VALUE"""),44771.66666666667)</f>
        <v>44771.66667</v>
      </c>
      <c r="H653" s="11">
        <f>IFERROR(__xludf.DUMMYFUNCTION("""COMPUTED_VALUE"""),162.51)</f>
        <v>162.51</v>
      </c>
    </row>
    <row r="654" ht="15.75" customHeight="1">
      <c r="A654" s="12">
        <f>IFERROR(__xludf.DUMMYFUNCTION("""COMPUTED_VALUE"""),44774.66666666667)</f>
        <v>44774.66667</v>
      </c>
      <c r="B654" s="11">
        <f>IFERROR(__xludf.DUMMYFUNCTION("""COMPUTED_VALUE"""),64.52)</f>
        <v>64.52</v>
      </c>
      <c r="C654" s="12">
        <f>IFERROR(__xludf.DUMMYFUNCTION("""COMPUTED_VALUE"""),44774.66666666667)</f>
        <v>44774.66667</v>
      </c>
      <c r="D654" s="11">
        <f>IFERROR(__xludf.DUMMYFUNCTION("""COMPUTED_VALUE"""),278.01)</f>
        <v>278.01</v>
      </c>
      <c r="E654" s="12">
        <f>IFERROR(__xludf.DUMMYFUNCTION("""COMPUTED_VALUE"""),44774.66666666667)</f>
        <v>44774.66667</v>
      </c>
      <c r="F654" s="11">
        <f>IFERROR(__xludf.DUMMYFUNCTION("""COMPUTED_VALUE"""),297.28)</f>
        <v>297.28</v>
      </c>
      <c r="G654" s="12">
        <f>IFERROR(__xludf.DUMMYFUNCTION("""COMPUTED_VALUE"""),44774.66666666667)</f>
        <v>44774.66667</v>
      </c>
      <c r="H654" s="11">
        <f>IFERROR(__xludf.DUMMYFUNCTION("""COMPUTED_VALUE"""),161.51)</f>
        <v>161.51</v>
      </c>
    </row>
    <row r="655" ht="15.75" customHeight="1">
      <c r="A655" s="12">
        <f>IFERROR(__xludf.DUMMYFUNCTION("""COMPUTED_VALUE"""),44775.66666666667)</f>
        <v>44775.66667</v>
      </c>
      <c r="B655" s="11">
        <f>IFERROR(__xludf.DUMMYFUNCTION("""COMPUTED_VALUE"""),63.64)</f>
        <v>63.64</v>
      </c>
      <c r="C655" s="12">
        <f>IFERROR(__xludf.DUMMYFUNCTION("""COMPUTED_VALUE"""),44775.66666666667)</f>
        <v>44775.66667</v>
      </c>
      <c r="D655" s="11">
        <f>IFERROR(__xludf.DUMMYFUNCTION("""COMPUTED_VALUE"""),274.82)</f>
        <v>274.82</v>
      </c>
      <c r="E655" s="12">
        <f>IFERROR(__xludf.DUMMYFUNCTION("""COMPUTED_VALUE"""),44775.66666666667)</f>
        <v>44775.66667</v>
      </c>
      <c r="F655" s="11">
        <f>IFERROR(__xludf.DUMMYFUNCTION("""COMPUTED_VALUE"""),300.59)</f>
        <v>300.59</v>
      </c>
      <c r="G655" s="12">
        <f>IFERROR(__xludf.DUMMYFUNCTION("""COMPUTED_VALUE"""),44775.66666666667)</f>
        <v>44775.66667</v>
      </c>
      <c r="H655" s="11">
        <f>IFERROR(__xludf.DUMMYFUNCTION("""COMPUTED_VALUE"""),160.01)</f>
        <v>160.01</v>
      </c>
    </row>
    <row r="656" ht="15.75" customHeight="1">
      <c r="A656" s="12">
        <f>IFERROR(__xludf.DUMMYFUNCTION("""COMPUTED_VALUE"""),44776.66666666667)</f>
        <v>44776.66667</v>
      </c>
      <c r="B656" s="11">
        <f>IFERROR(__xludf.DUMMYFUNCTION("""COMPUTED_VALUE"""),63.92)</f>
        <v>63.92</v>
      </c>
      <c r="C656" s="12">
        <f>IFERROR(__xludf.DUMMYFUNCTION("""COMPUTED_VALUE"""),44776.66666666667)</f>
        <v>44776.66667</v>
      </c>
      <c r="D656" s="11">
        <f>IFERROR(__xludf.DUMMYFUNCTION("""COMPUTED_VALUE"""),282.47)</f>
        <v>282.47</v>
      </c>
      <c r="E656" s="12">
        <f>IFERROR(__xludf.DUMMYFUNCTION("""COMPUTED_VALUE"""),44776.66666666667)</f>
        <v>44776.66667</v>
      </c>
      <c r="F656" s="11">
        <f>IFERROR(__xludf.DUMMYFUNCTION("""COMPUTED_VALUE"""),307.4)</f>
        <v>307.4</v>
      </c>
      <c r="G656" s="12">
        <f>IFERROR(__xludf.DUMMYFUNCTION("""COMPUTED_VALUE"""),44776.66666666667)</f>
        <v>44776.66667</v>
      </c>
      <c r="H656" s="11">
        <f>IFERROR(__xludf.DUMMYFUNCTION("""COMPUTED_VALUE"""),166.13)</f>
        <v>166.13</v>
      </c>
    </row>
    <row r="657" ht="15.75" customHeight="1">
      <c r="A657" s="12">
        <f>IFERROR(__xludf.DUMMYFUNCTION("""COMPUTED_VALUE"""),44777.66666666667)</f>
        <v>44777.66667</v>
      </c>
      <c r="B657" s="11">
        <f>IFERROR(__xludf.DUMMYFUNCTION("""COMPUTED_VALUE"""),63.67)</f>
        <v>63.67</v>
      </c>
      <c r="C657" s="12">
        <f>IFERROR(__xludf.DUMMYFUNCTION("""COMPUTED_VALUE"""),44777.66666666667)</f>
        <v>44777.66667</v>
      </c>
      <c r="D657" s="11">
        <f>IFERROR(__xludf.DUMMYFUNCTION("""COMPUTED_VALUE"""),283.65)</f>
        <v>283.65</v>
      </c>
      <c r="E657" s="12">
        <f>IFERROR(__xludf.DUMMYFUNCTION("""COMPUTED_VALUE"""),44777.66666666667)</f>
        <v>44777.66667</v>
      </c>
      <c r="F657" s="11">
        <f>IFERROR(__xludf.DUMMYFUNCTION("""COMPUTED_VALUE"""),308.63)</f>
        <v>308.63</v>
      </c>
      <c r="G657" s="12">
        <f>IFERROR(__xludf.DUMMYFUNCTION("""COMPUTED_VALUE"""),44777.66666666667)</f>
        <v>44777.66667</v>
      </c>
      <c r="H657" s="11">
        <f>IFERROR(__xludf.DUMMYFUNCTION("""COMPUTED_VALUE"""),165.81)</f>
        <v>165.81</v>
      </c>
    </row>
    <row r="658" ht="15.75" customHeight="1">
      <c r="A658" s="12">
        <f>IFERROR(__xludf.DUMMYFUNCTION("""COMPUTED_VALUE"""),44778.66666666667)</f>
        <v>44778.66667</v>
      </c>
      <c r="B658" s="11">
        <f>IFERROR(__xludf.DUMMYFUNCTION("""COMPUTED_VALUE"""),63.38)</f>
        <v>63.38</v>
      </c>
      <c r="C658" s="12">
        <f>IFERROR(__xludf.DUMMYFUNCTION("""COMPUTED_VALUE"""),44778.66666666667)</f>
        <v>44778.66667</v>
      </c>
      <c r="D658" s="11">
        <f>IFERROR(__xludf.DUMMYFUNCTION("""COMPUTED_VALUE"""),282.91)</f>
        <v>282.91</v>
      </c>
      <c r="E658" s="12">
        <f>IFERROR(__xludf.DUMMYFUNCTION("""COMPUTED_VALUE"""),44778.66666666667)</f>
        <v>44778.66667</v>
      </c>
      <c r="F658" s="11">
        <f>IFERROR(__xludf.DUMMYFUNCTION("""COMPUTED_VALUE"""),288.17)</f>
        <v>288.17</v>
      </c>
      <c r="G658" s="12">
        <f>IFERROR(__xludf.DUMMYFUNCTION("""COMPUTED_VALUE"""),44778.66666666667)</f>
        <v>44778.66667</v>
      </c>
      <c r="H658" s="11">
        <f>IFERROR(__xludf.DUMMYFUNCTION("""COMPUTED_VALUE"""),165.35)</f>
        <v>165.35</v>
      </c>
    </row>
    <row r="659" ht="15.75" customHeight="1">
      <c r="A659" s="12">
        <f>IFERROR(__xludf.DUMMYFUNCTION("""COMPUTED_VALUE"""),44781.66666666667)</f>
        <v>44781.66667</v>
      </c>
      <c r="B659" s="11">
        <f>IFERROR(__xludf.DUMMYFUNCTION("""COMPUTED_VALUE"""),62.97)</f>
        <v>62.97</v>
      </c>
      <c r="C659" s="12">
        <f>IFERROR(__xludf.DUMMYFUNCTION("""COMPUTED_VALUE"""),44781.66666666667)</f>
        <v>44781.66667</v>
      </c>
      <c r="D659" s="11">
        <f>IFERROR(__xludf.DUMMYFUNCTION("""COMPUTED_VALUE"""),280.32)</f>
        <v>280.32</v>
      </c>
      <c r="E659" s="12">
        <f>IFERROR(__xludf.DUMMYFUNCTION("""COMPUTED_VALUE"""),44781.66666666667)</f>
        <v>44781.66667</v>
      </c>
      <c r="F659" s="11">
        <f>IFERROR(__xludf.DUMMYFUNCTION("""COMPUTED_VALUE"""),290.42)</f>
        <v>290.42</v>
      </c>
      <c r="G659" s="12">
        <f>IFERROR(__xludf.DUMMYFUNCTION("""COMPUTED_VALUE"""),44781.66666666667)</f>
        <v>44781.66667</v>
      </c>
      <c r="H659" s="11">
        <f>IFERROR(__xludf.DUMMYFUNCTION("""COMPUTED_VALUE"""),164.87)</f>
        <v>164.87</v>
      </c>
    </row>
    <row r="660" ht="15.75" customHeight="1">
      <c r="A660" s="12">
        <f>IFERROR(__xludf.DUMMYFUNCTION("""COMPUTED_VALUE"""),44782.66666666667)</f>
        <v>44782.66667</v>
      </c>
      <c r="B660" s="11">
        <f>IFERROR(__xludf.DUMMYFUNCTION("""COMPUTED_VALUE"""),63.05)</f>
        <v>63.05</v>
      </c>
      <c r="C660" s="12">
        <f>IFERROR(__xludf.DUMMYFUNCTION("""COMPUTED_VALUE"""),44782.66666666667)</f>
        <v>44782.66667</v>
      </c>
      <c r="D660" s="11">
        <f>IFERROR(__xludf.DUMMYFUNCTION("""COMPUTED_VALUE"""),282.3)</f>
        <v>282.3</v>
      </c>
      <c r="E660" s="12">
        <f>IFERROR(__xludf.DUMMYFUNCTION("""COMPUTED_VALUE"""),44782.66666666667)</f>
        <v>44782.66667</v>
      </c>
      <c r="F660" s="11">
        <f>IFERROR(__xludf.DUMMYFUNCTION("""COMPUTED_VALUE"""),283.33)</f>
        <v>283.33</v>
      </c>
      <c r="G660" s="12">
        <f>IFERROR(__xludf.DUMMYFUNCTION("""COMPUTED_VALUE"""),44782.66666666667)</f>
        <v>44782.66667</v>
      </c>
      <c r="H660" s="11">
        <f>IFERROR(__xludf.DUMMYFUNCTION("""COMPUTED_VALUE"""),164.92)</f>
        <v>164.92</v>
      </c>
    </row>
    <row r="661" ht="15.75" customHeight="1">
      <c r="A661" s="12">
        <f>IFERROR(__xludf.DUMMYFUNCTION("""COMPUTED_VALUE"""),44783.66666666667)</f>
        <v>44783.66667</v>
      </c>
      <c r="B661" s="11">
        <f>IFERROR(__xludf.DUMMYFUNCTION("""COMPUTED_VALUE"""),63.65)</f>
        <v>63.65</v>
      </c>
      <c r="C661" s="12">
        <f>IFERROR(__xludf.DUMMYFUNCTION("""COMPUTED_VALUE"""),44783.66666666667)</f>
        <v>44783.66667</v>
      </c>
      <c r="D661" s="11">
        <f>IFERROR(__xludf.DUMMYFUNCTION("""COMPUTED_VALUE"""),289.16)</f>
        <v>289.16</v>
      </c>
      <c r="E661" s="12">
        <f>IFERROR(__xludf.DUMMYFUNCTION("""COMPUTED_VALUE"""),44783.66666666667)</f>
        <v>44783.66667</v>
      </c>
      <c r="F661" s="11">
        <f>IFERROR(__xludf.DUMMYFUNCTION("""COMPUTED_VALUE"""),294.36)</f>
        <v>294.36</v>
      </c>
      <c r="G661" s="12">
        <f>IFERROR(__xludf.DUMMYFUNCTION("""COMPUTED_VALUE"""),44783.66666666667)</f>
        <v>44783.66667</v>
      </c>
      <c r="H661" s="11">
        <f>IFERROR(__xludf.DUMMYFUNCTION("""COMPUTED_VALUE"""),169.24)</f>
        <v>169.24</v>
      </c>
    </row>
    <row r="662" ht="15.75" customHeight="1">
      <c r="A662" s="12">
        <f>IFERROR(__xludf.DUMMYFUNCTION("""COMPUTED_VALUE"""),44784.66666666667)</f>
        <v>44784.66667</v>
      </c>
      <c r="B662" s="11">
        <f>IFERROR(__xludf.DUMMYFUNCTION("""COMPUTED_VALUE"""),63.22)</f>
        <v>63.22</v>
      </c>
      <c r="C662" s="12">
        <f>IFERROR(__xludf.DUMMYFUNCTION("""COMPUTED_VALUE"""),44784.66666666667)</f>
        <v>44784.66667</v>
      </c>
      <c r="D662" s="11">
        <f>IFERROR(__xludf.DUMMYFUNCTION("""COMPUTED_VALUE"""),287.02)</f>
        <v>287.02</v>
      </c>
      <c r="E662" s="12">
        <f>IFERROR(__xludf.DUMMYFUNCTION("""COMPUTED_VALUE"""),44784.66666666667)</f>
        <v>44784.66667</v>
      </c>
      <c r="F662" s="11">
        <f>IFERROR(__xludf.DUMMYFUNCTION("""COMPUTED_VALUE"""),286.63)</f>
        <v>286.63</v>
      </c>
      <c r="G662" s="12">
        <f>IFERROR(__xludf.DUMMYFUNCTION("""COMPUTED_VALUE"""),44784.66666666667)</f>
        <v>44784.66667</v>
      </c>
      <c r="H662" s="11">
        <f>IFERROR(__xludf.DUMMYFUNCTION("""COMPUTED_VALUE"""),168.49)</f>
        <v>168.49</v>
      </c>
    </row>
    <row r="663" ht="15.75" customHeight="1">
      <c r="A663" s="12">
        <f>IFERROR(__xludf.DUMMYFUNCTION("""COMPUTED_VALUE"""),44785.66666666667)</f>
        <v>44785.66667</v>
      </c>
      <c r="B663" s="11">
        <f>IFERROR(__xludf.DUMMYFUNCTION("""COMPUTED_VALUE"""),63.7)</f>
        <v>63.7</v>
      </c>
      <c r="C663" s="12">
        <f>IFERROR(__xludf.DUMMYFUNCTION("""COMPUTED_VALUE"""),44785.66666666667)</f>
        <v>44785.66667</v>
      </c>
      <c r="D663" s="11">
        <f>IFERROR(__xludf.DUMMYFUNCTION("""COMPUTED_VALUE"""),291.91)</f>
        <v>291.91</v>
      </c>
      <c r="E663" s="12">
        <f>IFERROR(__xludf.DUMMYFUNCTION("""COMPUTED_VALUE"""),44785.66666666667)</f>
        <v>44785.66667</v>
      </c>
      <c r="F663" s="11">
        <f>IFERROR(__xludf.DUMMYFUNCTION("""COMPUTED_VALUE"""),300.03)</f>
        <v>300.03</v>
      </c>
      <c r="G663" s="12">
        <f>IFERROR(__xludf.DUMMYFUNCTION("""COMPUTED_VALUE"""),44785.66666666667)</f>
        <v>44785.66667</v>
      </c>
      <c r="H663" s="11">
        <f>IFERROR(__xludf.DUMMYFUNCTION("""COMPUTED_VALUE"""),172.1)</f>
        <v>172.1</v>
      </c>
    </row>
    <row r="664" ht="15.75" customHeight="1">
      <c r="A664" s="12">
        <f>IFERROR(__xludf.DUMMYFUNCTION("""COMPUTED_VALUE"""),44788.66666666667)</f>
        <v>44788.66667</v>
      </c>
      <c r="B664" s="11">
        <f>IFERROR(__xludf.DUMMYFUNCTION("""COMPUTED_VALUE"""),64.5)</f>
        <v>64.5</v>
      </c>
      <c r="C664" s="12">
        <f>IFERROR(__xludf.DUMMYFUNCTION("""COMPUTED_VALUE"""),44788.66666666667)</f>
        <v>44788.66667</v>
      </c>
      <c r="D664" s="11">
        <f>IFERROR(__xludf.DUMMYFUNCTION("""COMPUTED_VALUE"""),293.47)</f>
        <v>293.47</v>
      </c>
      <c r="E664" s="12">
        <f>IFERROR(__xludf.DUMMYFUNCTION("""COMPUTED_VALUE"""),44788.66666666667)</f>
        <v>44788.66667</v>
      </c>
      <c r="F664" s="11">
        <f>IFERROR(__xludf.DUMMYFUNCTION("""COMPUTED_VALUE"""),309.32)</f>
        <v>309.32</v>
      </c>
      <c r="G664" s="12">
        <f>IFERROR(__xludf.DUMMYFUNCTION("""COMPUTED_VALUE"""),44788.66666666667)</f>
        <v>44788.66667</v>
      </c>
      <c r="H664" s="11">
        <f>IFERROR(__xludf.DUMMYFUNCTION("""COMPUTED_VALUE"""),173.19)</f>
        <v>173.19</v>
      </c>
    </row>
    <row r="665" ht="15.75" customHeight="1">
      <c r="A665" s="12">
        <f>IFERROR(__xludf.DUMMYFUNCTION("""COMPUTED_VALUE"""),44789.66666666667)</f>
        <v>44789.66667</v>
      </c>
      <c r="B665" s="11">
        <f>IFERROR(__xludf.DUMMYFUNCTION("""COMPUTED_VALUE"""),65.03)</f>
        <v>65.03</v>
      </c>
      <c r="C665" s="12">
        <f>IFERROR(__xludf.DUMMYFUNCTION("""COMPUTED_VALUE"""),44789.66666666667)</f>
        <v>44789.66667</v>
      </c>
      <c r="D665" s="11">
        <f>IFERROR(__xludf.DUMMYFUNCTION("""COMPUTED_VALUE"""),292.71)</f>
        <v>292.71</v>
      </c>
      <c r="E665" s="12">
        <f>IFERROR(__xludf.DUMMYFUNCTION("""COMPUTED_VALUE"""),44789.66666666667)</f>
        <v>44789.66667</v>
      </c>
      <c r="F665" s="11">
        <f>IFERROR(__xludf.DUMMYFUNCTION("""COMPUTED_VALUE"""),306.56)</f>
        <v>306.56</v>
      </c>
      <c r="G665" s="12">
        <f>IFERROR(__xludf.DUMMYFUNCTION("""COMPUTED_VALUE"""),44789.66666666667)</f>
        <v>44789.66667</v>
      </c>
      <c r="H665" s="11">
        <f>IFERROR(__xludf.DUMMYFUNCTION("""COMPUTED_VALUE"""),173.03)</f>
        <v>173.03</v>
      </c>
    </row>
    <row r="666" ht="15.75" customHeight="1">
      <c r="A666" s="12">
        <f>IFERROR(__xludf.DUMMYFUNCTION("""COMPUTED_VALUE"""),44790.66666666667)</f>
        <v>44790.66667</v>
      </c>
      <c r="B666" s="11">
        <f>IFERROR(__xludf.DUMMYFUNCTION("""COMPUTED_VALUE"""),64.88)</f>
        <v>64.88</v>
      </c>
      <c r="C666" s="12">
        <f>IFERROR(__xludf.DUMMYFUNCTION("""COMPUTED_VALUE"""),44790.66666666667)</f>
        <v>44790.66667</v>
      </c>
      <c r="D666" s="11">
        <f>IFERROR(__xludf.DUMMYFUNCTION("""COMPUTED_VALUE"""),291.32)</f>
        <v>291.32</v>
      </c>
      <c r="E666" s="12">
        <f>IFERROR(__xludf.DUMMYFUNCTION("""COMPUTED_VALUE"""),44790.66666666667)</f>
        <v>44790.66667</v>
      </c>
      <c r="F666" s="11">
        <f>IFERROR(__xludf.DUMMYFUNCTION("""COMPUTED_VALUE"""),304.0)</f>
        <v>304</v>
      </c>
      <c r="G666" s="12">
        <f>IFERROR(__xludf.DUMMYFUNCTION("""COMPUTED_VALUE"""),44790.66666666667)</f>
        <v>44790.66667</v>
      </c>
      <c r="H666" s="11">
        <f>IFERROR(__xludf.DUMMYFUNCTION("""COMPUTED_VALUE"""),174.55)</f>
        <v>174.55</v>
      </c>
    </row>
    <row r="667" ht="15.75" customHeight="1">
      <c r="A667" s="12">
        <f>IFERROR(__xludf.DUMMYFUNCTION("""COMPUTED_VALUE"""),44791.66666666667)</f>
        <v>44791.66667</v>
      </c>
      <c r="B667" s="11">
        <f>IFERROR(__xludf.DUMMYFUNCTION("""COMPUTED_VALUE"""),65.22)</f>
        <v>65.22</v>
      </c>
      <c r="C667" s="12">
        <f>IFERROR(__xludf.DUMMYFUNCTION("""COMPUTED_VALUE"""),44791.66666666667)</f>
        <v>44791.66667</v>
      </c>
      <c r="D667" s="11">
        <f>IFERROR(__xludf.DUMMYFUNCTION("""COMPUTED_VALUE"""),290.17)</f>
        <v>290.17</v>
      </c>
      <c r="E667" s="12">
        <f>IFERROR(__xludf.DUMMYFUNCTION("""COMPUTED_VALUE"""),44791.66666666667)</f>
        <v>44791.66667</v>
      </c>
      <c r="F667" s="11">
        <f>IFERROR(__xludf.DUMMYFUNCTION("""COMPUTED_VALUE"""),302.87)</f>
        <v>302.87</v>
      </c>
      <c r="G667" s="12">
        <f>IFERROR(__xludf.DUMMYFUNCTION("""COMPUTED_VALUE"""),44791.66666666667)</f>
        <v>44791.66667</v>
      </c>
      <c r="H667" s="11">
        <f>IFERROR(__xludf.DUMMYFUNCTION("""COMPUTED_VALUE"""),174.15)</f>
        <v>174.15</v>
      </c>
    </row>
    <row r="668" ht="15.75" customHeight="1">
      <c r="A668" s="12">
        <f>IFERROR(__xludf.DUMMYFUNCTION("""COMPUTED_VALUE"""),44792.66666666667)</f>
        <v>44792.66667</v>
      </c>
      <c r="B668" s="11">
        <f>IFERROR(__xludf.DUMMYFUNCTION("""COMPUTED_VALUE"""),65.17)</f>
        <v>65.17</v>
      </c>
      <c r="C668" s="12">
        <f>IFERROR(__xludf.DUMMYFUNCTION("""COMPUTED_VALUE"""),44792.66666666667)</f>
        <v>44792.66667</v>
      </c>
      <c r="D668" s="11">
        <f>IFERROR(__xludf.DUMMYFUNCTION("""COMPUTED_VALUE"""),286.15)</f>
        <v>286.15</v>
      </c>
      <c r="E668" s="12">
        <f>IFERROR(__xludf.DUMMYFUNCTION("""COMPUTED_VALUE"""),44792.66666666667)</f>
        <v>44792.66667</v>
      </c>
      <c r="F668" s="11">
        <f>IFERROR(__xludf.DUMMYFUNCTION("""COMPUTED_VALUE"""),296.67)</f>
        <v>296.67</v>
      </c>
      <c r="G668" s="12">
        <f>IFERROR(__xludf.DUMMYFUNCTION("""COMPUTED_VALUE"""),44792.66666666667)</f>
        <v>44792.66667</v>
      </c>
      <c r="H668" s="11">
        <f>IFERROR(__xludf.DUMMYFUNCTION("""COMPUTED_VALUE"""),171.52)</f>
        <v>171.52</v>
      </c>
    </row>
    <row r="669" ht="15.75" customHeight="1">
      <c r="A669" s="12">
        <f>IFERROR(__xludf.DUMMYFUNCTION("""COMPUTED_VALUE"""),44795.66666666667)</f>
        <v>44795.66667</v>
      </c>
      <c r="B669" s="11">
        <f>IFERROR(__xludf.DUMMYFUNCTION("""COMPUTED_VALUE"""),64.2)</f>
        <v>64.2</v>
      </c>
      <c r="C669" s="12">
        <f>IFERROR(__xludf.DUMMYFUNCTION("""COMPUTED_VALUE"""),44795.66666666667)</f>
        <v>44795.66667</v>
      </c>
      <c r="D669" s="11">
        <f>IFERROR(__xludf.DUMMYFUNCTION("""COMPUTED_VALUE"""),277.75)</f>
        <v>277.75</v>
      </c>
      <c r="E669" s="12">
        <f>IFERROR(__xludf.DUMMYFUNCTION("""COMPUTED_VALUE"""),44795.66666666667)</f>
        <v>44795.66667</v>
      </c>
      <c r="F669" s="11">
        <f>IFERROR(__xludf.DUMMYFUNCTION("""COMPUTED_VALUE"""),289.91)</f>
        <v>289.91</v>
      </c>
      <c r="G669" s="12">
        <f>IFERROR(__xludf.DUMMYFUNCTION("""COMPUTED_VALUE"""),44795.66666666667)</f>
        <v>44795.66667</v>
      </c>
      <c r="H669" s="11">
        <f>IFERROR(__xludf.DUMMYFUNCTION("""COMPUTED_VALUE"""),167.57)</f>
        <v>167.57</v>
      </c>
    </row>
    <row r="670" ht="15.75" customHeight="1">
      <c r="A670" s="12">
        <f>IFERROR(__xludf.DUMMYFUNCTION("""COMPUTED_VALUE"""),44796.66666666667)</f>
        <v>44796.66667</v>
      </c>
      <c r="B670" s="11">
        <f>IFERROR(__xludf.DUMMYFUNCTION("""COMPUTED_VALUE"""),64.27)</f>
        <v>64.27</v>
      </c>
      <c r="C670" s="12">
        <f>IFERROR(__xludf.DUMMYFUNCTION("""COMPUTED_VALUE"""),44796.66666666667)</f>
        <v>44796.66667</v>
      </c>
      <c r="D670" s="11">
        <f>IFERROR(__xludf.DUMMYFUNCTION("""COMPUTED_VALUE"""),276.44)</f>
        <v>276.44</v>
      </c>
      <c r="E670" s="12">
        <f>IFERROR(__xludf.DUMMYFUNCTION("""COMPUTED_VALUE"""),44796.66666666667)</f>
        <v>44796.66667</v>
      </c>
      <c r="F670" s="11">
        <f>IFERROR(__xludf.DUMMYFUNCTION("""COMPUTED_VALUE"""),296.45)</f>
        <v>296.45</v>
      </c>
      <c r="G670" s="12">
        <f>IFERROR(__xludf.DUMMYFUNCTION("""COMPUTED_VALUE"""),44796.66666666667)</f>
        <v>44796.66667</v>
      </c>
      <c r="H670" s="11">
        <f>IFERROR(__xludf.DUMMYFUNCTION("""COMPUTED_VALUE"""),167.23)</f>
        <v>167.23</v>
      </c>
    </row>
    <row r="671" ht="15.75" customHeight="1">
      <c r="A671" s="12">
        <f>IFERROR(__xludf.DUMMYFUNCTION("""COMPUTED_VALUE"""),44797.66666666667)</f>
        <v>44797.66667</v>
      </c>
      <c r="B671" s="11">
        <f>IFERROR(__xludf.DUMMYFUNCTION("""COMPUTED_VALUE"""),64.36)</f>
        <v>64.36</v>
      </c>
      <c r="C671" s="12">
        <f>IFERROR(__xludf.DUMMYFUNCTION("""COMPUTED_VALUE"""),44797.66666666667)</f>
        <v>44797.66667</v>
      </c>
      <c r="D671" s="11">
        <f>IFERROR(__xludf.DUMMYFUNCTION("""COMPUTED_VALUE"""),275.79)</f>
        <v>275.79</v>
      </c>
      <c r="E671" s="12">
        <f>IFERROR(__xludf.DUMMYFUNCTION("""COMPUTED_VALUE"""),44797.66666666667)</f>
        <v>44797.66667</v>
      </c>
      <c r="F671" s="11">
        <f>IFERROR(__xludf.DUMMYFUNCTION("""COMPUTED_VALUE"""),297.1)</f>
        <v>297.1</v>
      </c>
      <c r="G671" s="12">
        <f>IFERROR(__xludf.DUMMYFUNCTION("""COMPUTED_VALUE"""),44797.66666666667)</f>
        <v>44797.66667</v>
      </c>
      <c r="H671" s="11">
        <f>IFERROR(__xludf.DUMMYFUNCTION("""COMPUTED_VALUE"""),167.53)</f>
        <v>167.53</v>
      </c>
    </row>
    <row r="672" ht="15.75" customHeight="1">
      <c r="A672" s="12">
        <f>IFERROR(__xludf.DUMMYFUNCTION("""COMPUTED_VALUE"""),44798.66666666667)</f>
        <v>44798.66667</v>
      </c>
      <c r="B672" s="11">
        <f>IFERROR(__xludf.DUMMYFUNCTION("""COMPUTED_VALUE"""),64.67)</f>
        <v>64.67</v>
      </c>
      <c r="C672" s="12">
        <f>IFERROR(__xludf.DUMMYFUNCTION("""COMPUTED_VALUE"""),44798.66666666667)</f>
        <v>44798.66667</v>
      </c>
      <c r="D672" s="11">
        <f>IFERROR(__xludf.DUMMYFUNCTION("""COMPUTED_VALUE"""),278.85)</f>
        <v>278.85</v>
      </c>
      <c r="E672" s="12">
        <f>IFERROR(__xludf.DUMMYFUNCTION("""COMPUTED_VALUE"""),44798.66666666667)</f>
        <v>44798.66667</v>
      </c>
      <c r="F672" s="11">
        <f>IFERROR(__xludf.DUMMYFUNCTION("""COMPUTED_VALUE"""),296.07)</f>
        <v>296.07</v>
      </c>
      <c r="G672" s="12">
        <f>IFERROR(__xludf.DUMMYFUNCTION("""COMPUTED_VALUE"""),44798.66666666667)</f>
        <v>44798.66667</v>
      </c>
      <c r="H672" s="11">
        <f>IFERROR(__xludf.DUMMYFUNCTION("""COMPUTED_VALUE"""),170.03)</f>
        <v>170.03</v>
      </c>
    </row>
    <row r="673" ht="15.75" customHeight="1">
      <c r="A673" s="12">
        <f>IFERROR(__xludf.DUMMYFUNCTION("""COMPUTED_VALUE"""),44799.66666666667)</f>
        <v>44799.66667</v>
      </c>
      <c r="B673" s="11">
        <f>IFERROR(__xludf.DUMMYFUNCTION("""COMPUTED_VALUE"""),63.11)</f>
        <v>63.11</v>
      </c>
      <c r="C673" s="12">
        <f>IFERROR(__xludf.DUMMYFUNCTION("""COMPUTED_VALUE"""),44799.66666666667)</f>
        <v>44799.66667</v>
      </c>
      <c r="D673" s="11">
        <f>IFERROR(__xludf.DUMMYFUNCTION("""COMPUTED_VALUE"""),268.09)</f>
        <v>268.09</v>
      </c>
      <c r="E673" s="12">
        <f>IFERROR(__xludf.DUMMYFUNCTION("""COMPUTED_VALUE"""),44799.66666666667)</f>
        <v>44799.66667</v>
      </c>
      <c r="F673" s="11">
        <f>IFERROR(__xludf.DUMMYFUNCTION("""COMPUTED_VALUE"""),288.09)</f>
        <v>288.09</v>
      </c>
      <c r="G673" s="12">
        <f>IFERROR(__xludf.DUMMYFUNCTION("""COMPUTED_VALUE"""),44799.66666666667)</f>
        <v>44799.66667</v>
      </c>
      <c r="H673" s="11">
        <f>IFERROR(__xludf.DUMMYFUNCTION("""COMPUTED_VALUE"""),163.62)</f>
        <v>163.62</v>
      </c>
    </row>
    <row r="674" ht="15.75" customHeight="1">
      <c r="A674" s="12">
        <f>IFERROR(__xludf.DUMMYFUNCTION("""COMPUTED_VALUE"""),44802.66666666667)</f>
        <v>44802.66667</v>
      </c>
      <c r="B674" s="11">
        <f>IFERROR(__xludf.DUMMYFUNCTION("""COMPUTED_VALUE"""),62.73)</f>
        <v>62.73</v>
      </c>
      <c r="C674" s="12">
        <f>IFERROR(__xludf.DUMMYFUNCTION("""COMPUTED_VALUE"""),44802.66666666667)</f>
        <v>44802.66667</v>
      </c>
      <c r="D674" s="11">
        <f>IFERROR(__xludf.DUMMYFUNCTION("""COMPUTED_VALUE"""),265.23)</f>
        <v>265.23</v>
      </c>
      <c r="E674" s="12">
        <f>IFERROR(__xludf.DUMMYFUNCTION("""COMPUTED_VALUE"""),44802.66666666667)</f>
        <v>44802.66667</v>
      </c>
      <c r="F674" s="11">
        <f>IFERROR(__xludf.DUMMYFUNCTION("""COMPUTED_VALUE"""),284.82)</f>
        <v>284.82</v>
      </c>
      <c r="G674" s="12">
        <f>IFERROR(__xludf.DUMMYFUNCTION("""COMPUTED_VALUE"""),44802.66666666667)</f>
        <v>44802.66667</v>
      </c>
      <c r="H674" s="11">
        <f>IFERROR(__xludf.DUMMYFUNCTION("""COMPUTED_VALUE"""),161.38)</f>
        <v>161.38</v>
      </c>
    </row>
    <row r="675" ht="15.75" customHeight="1">
      <c r="A675" s="12">
        <f>IFERROR(__xludf.DUMMYFUNCTION("""COMPUTED_VALUE"""),44803.66666666667)</f>
        <v>44803.66667</v>
      </c>
      <c r="B675" s="11">
        <f>IFERROR(__xludf.DUMMYFUNCTION("""COMPUTED_VALUE"""),62.15)</f>
        <v>62.15</v>
      </c>
      <c r="C675" s="12">
        <f>IFERROR(__xludf.DUMMYFUNCTION("""COMPUTED_VALUE"""),44803.66666666667)</f>
        <v>44803.66667</v>
      </c>
      <c r="D675" s="11">
        <f>IFERROR(__xludf.DUMMYFUNCTION("""COMPUTED_VALUE"""),262.97)</f>
        <v>262.97</v>
      </c>
      <c r="E675" s="12">
        <f>IFERROR(__xludf.DUMMYFUNCTION("""COMPUTED_VALUE"""),44803.66666666667)</f>
        <v>44803.66667</v>
      </c>
      <c r="F675" s="11">
        <f>IFERROR(__xludf.DUMMYFUNCTION("""COMPUTED_VALUE"""),277.7)</f>
        <v>277.7</v>
      </c>
      <c r="G675" s="12">
        <f>IFERROR(__xludf.DUMMYFUNCTION("""COMPUTED_VALUE"""),44803.66666666667)</f>
        <v>44803.66667</v>
      </c>
      <c r="H675" s="11">
        <f>IFERROR(__xludf.DUMMYFUNCTION("""COMPUTED_VALUE"""),158.91)</f>
        <v>158.91</v>
      </c>
    </row>
    <row r="676" ht="15.75" customHeight="1">
      <c r="A676" s="12">
        <f>IFERROR(__xludf.DUMMYFUNCTION("""COMPUTED_VALUE"""),44804.66666666667)</f>
        <v>44804.66667</v>
      </c>
      <c r="B676" s="11">
        <f>IFERROR(__xludf.DUMMYFUNCTION("""COMPUTED_VALUE"""),61.71)</f>
        <v>61.71</v>
      </c>
      <c r="C676" s="12">
        <f>IFERROR(__xludf.DUMMYFUNCTION("""COMPUTED_VALUE"""),44804.66666666667)</f>
        <v>44804.66667</v>
      </c>
      <c r="D676" s="11">
        <f>IFERROR(__xludf.DUMMYFUNCTION("""COMPUTED_VALUE"""),261.47)</f>
        <v>261.47</v>
      </c>
      <c r="E676" s="12">
        <f>IFERROR(__xludf.DUMMYFUNCTION("""COMPUTED_VALUE"""),44804.66666666667)</f>
        <v>44804.66667</v>
      </c>
      <c r="F676" s="11">
        <f>IFERROR(__xludf.DUMMYFUNCTION("""COMPUTED_VALUE"""),275.61)</f>
        <v>275.61</v>
      </c>
      <c r="G676" s="12">
        <f>IFERROR(__xludf.DUMMYFUNCTION("""COMPUTED_VALUE"""),44804.66666666667)</f>
        <v>44804.66667</v>
      </c>
      <c r="H676" s="11">
        <f>IFERROR(__xludf.DUMMYFUNCTION("""COMPUTED_VALUE"""),157.22)</f>
        <v>157.22</v>
      </c>
    </row>
    <row r="677" ht="15.75" customHeight="1">
      <c r="A677" s="12">
        <f>IFERROR(__xludf.DUMMYFUNCTION("""COMPUTED_VALUE"""),44805.66666666667)</f>
        <v>44805.66667</v>
      </c>
      <c r="B677" s="11">
        <f>IFERROR(__xludf.DUMMYFUNCTION("""COMPUTED_VALUE"""),62.0)</f>
        <v>62</v>
      </c>
      <c r="C677" s="12">
        <f>IFERROR(__xludf.DUMMYFUNCTION("""COMPUTED_VALUE"""),44805.66666666667)</f>
        <v>44805.66667</v>
      </c>
      <c r="D677" s="11">
        <f>IFERROR(__xludf.DUMMYFUNCTION("""COMPUTED_VALUE"""),260.4)</f>
        <v>260.4</v>
      </c>
      <c r="E677" s="12">
        <f>IFERROR(__xludf.DUMMYFUNCTION("""COMPUTED_VALUE"""),44805.66666666667)</f>
        <v>44805.66667</v>
      </c>
      <c r="F677" s="11">
        <f>IFERROR(__xludf.DUMMYFUNCTION("""COMPUTED_VALUE"""),277.16)</f>
        <v>277.16</v>
      </c>
      <c r="G677" s="12">
        <f>IFERROR(__xludf.DUMMYFUNCTION("""COMPUTED_VALUE"""),44805.66666666667)</f>
        <v>44805.66667</v>
      </c>
      <c r="H677" s="11">
        <f>IFERROR(__xludf.DUMMYFUNCTION("""COMPUTED_VALUE"""),157.96)</f>
        <v>157.96</v>
      </c>
    </row>
    <row r="678" ht="15.75" customHeight="1">
      <c r="A678" s="12">
        <f>IFERROR(__xludf.DUMMYFUNCTION("""COMPUTED_VALUE"""),44806.66666666667)</f>
        <v>44806.66667</v>
      </c>
      <c r="B678" s="11">
        <f>IFERROR(__xludf.DUMMYFUNCTION("""COMPUTED_VALUE"""),61.15)</f>
        <v>61.15</v>
      </c>
      <c r="C678" s="12">
        <f>IFERROR(__xludf.DUMMYFUNCTION("""COMPUTED_VALUE"""),44806.66666666667)</f>
        <v>44806.66667</v>
      </c>
      <c r="D678" s="11">
        <f>IFERROR(__xludf.DUMMYFUNCTION("""COMPUTED_VALUE"""),256.06)</f>
        <v>256.06</v>
      </c>
      <c r="E678" s="12">
        <f>IFERROR(__xludf.DUMMYFUNCTION("""COMPUTED_VALUE"""),44806.66666666667)</f>
        <v>44806.66667</v>
      </c>
      <c r="F678" s="11">
        <f>IFERROR(__xludf.DUMMYFUNCTION("""COMPUTED_VALUE"""),270.21)</f>
        <v>270.21</v>
      </c>
      <c r="G678" s="12">
        <f>IFERROR(__xludf.DUMMYFUNCTION("""COMPUTED_VALUE"""),44806.66666666667)</f>
        <v>44806.66667</v>
      </c>
      <c r="H678" s="11">
        <f>IFERROR(__xludf.DUMMYFUNCTION("""COMPUTED_VALUE"""),155.81)</f>
        <v>155.81</v>
      </c>
    </row>
    <row r="679" ht="15.75" customHeight="1">
      <c r="A679" s="12">
        <f>IFERROR(__xludf.DUMMYFUNCTION("""COMPUTED_VALUE"""),44810.66666666667)</f>
        <v>44810.66667</v>
      </c>
      <c r="B679" s="11">
        <f>IFERROR(__xludf.DUMMYFUNCTION("""COMPUTED_VALUE"""),61.18)</f>
        <v>61.18</v>
      </c>
      <c r="C679" s="12">
        <f>IFERROR(__xludf.DUMMYFUNCTION("""COMPUTED_VALUE"""),44810.66666666667)</f>
        <v>44810.66667</v>
      </c>
      <c r="D679" s="11">
        <f>IFERROR(__xludf.DUMMYFUNCTION("""COMPUTED_VALUE"""),253.25)</f>
        <v>253.25</v>
      </c>
      <c r="E679" s="12">
        <f>IFERROR(__xludf.DUMMYFUNCTION("""COMPUTED_VALUE"""),44810.66666666667)</f>
        <v>44810.66667</v>
      </c>
      <c r="F679" s="11">
        <f>IFERROR(__xludf.DUMMYFUNCTION("""COMPUTED_VALUE"""),274.42)</f>
        <v>274.42</v>
      </c>
      <c r="G679" s="12">
        <f>IFERROR(__xludf.DUMMYFUNCTION("""COMPUTED_VALUE"""),44810.66666666667)</f>
        <v>44810.66667</v>
      </c>
      <c r="H679" s="11">
        <f>IFERROR(__xludf.DUMMYFUNCTION("""COMPUTED_VALUE"""),154.53)</f>
        <v>154.53</v>
      </c>
    </row>
    <row r="680" ht="15.75" customHeight="1">
      <c r="A680" s="12">
        <f>IFERROR(__xludf.DUMMYFUNCTION("""COMPUTED_VALUE"""),44811.66666666667)</f>
        <v>44811.66667</v>
      </c>
      <c r="B680" s="11">
        <f>IFERROR(__xludf.DUMMYFUNCTION("""COMPUTED_VALUE"""),62.31)</f>
        <v>62.31</v>
      </c>
      <c r="C680" s="12">
        <f>IFERROR(__xludf.DUMMYFUNCTION("""COMPUTED_VALUE"""),44811.66666666667)</f>
        <v>44811.66667</v>
      </c>
      <c r="D680" s="11">
        <f>IFERROR(__xludf.DUMMYFUNCTION("""COMPUTED_VALUE"""),258.09)</f>
        <v>258.09</v>
      </c>
      <c r="E680" s="12">
        <f>IFERROR(__xludf.DUMMYFUNCTION("""COMPUTED_VALUE"""),44811.66666666667)</f>
        <v>44811.66667</v>
      </c>
      <c r="F680" s="11">
        <f>IFERROR(__xludf.DUMMYFUNCTION("""COMPUTED_VALUE"""),283.7)</f>
        <v>283.7</v>
      </c>
      <c r="G680" s="12">
        <f>IFERROR(__xludf.DUMMYFUNCTION("""COMPUTED_VALUE"""),44811.66666666667)</f>
        <v>44811.66667</v>
      </c>
      <c r="H680" s="11">
        <f>IFERROR(__xludf.DUMMYFUNCTION("""COMPUTED_VALUE"""),155.96)</f>
        <v>155.96</v>
      </c>
    </row>
    <row r="681" ht="15.75" customHeight="1">
      <c r="A681" s="12">
        <f>IFERROR(__xludf.DUMMYFUNCTION("""COMPUTED_VALUE"""),44812.66666666667)</f>
        <v>44812.66667</v>
      </c>
      <c r="B681" s="11">
        <f>IFERROR(__xludf.DUMMYFUNCTION("""COMPUTED_VALUE"""),62.12)</f>
        <v>62.12</v>
      </c>
      <c r="C681" s="12">
        <f>IFERROR(__xludf.DUMMYFUNCTION("""COMPUTED_VALUE"""),44812.66666666667)</f>
        <v>44812.66667</v>
      </c>
      <c r="D681" s="11">
        <f>IFERROR(__xludf.DUMMYFUNCTION("""COMPUTED_VALUE"""),258.52)</f>
        <v>258.52</v>
      </c>
      <c r="E681" s="12">
        <f>IFERROR(__xludf.DUMMYFUNCTION("""COMPUTED_VALUE"""),44812.66666666667)</f>
        <v>44812.66667</v>
      </c>
      <c r="F681" s="11">
        <f>IFERROR(__xludf.DUMMYFUNCTION("""COMPUTED_VALUE"""),289.26)</f>
        <v>289.26</v>
      </c>
      <c r="G681" s="12">
        <f>IFERROR(__xludf.DUMMYFUNCTION("""COMPUTED_VALUE"""),44812.66666666667)</f>
        <v>44812.66667</v>
      </c>
      <c r="H681" s="11">
        <f>IFERROR(__xludf.DUMMYFUNCTION("""COMPUTED_VALUE"""),154.46)</f>
        <v>154.46</v>
      </c>
    </row>
    <row r="682" ht="15.75" customHeight="1">
      <c r="A682" s="12">
        <f>IFERROR(__xludf.DUMMYFUNCTION("""COMPUTED_VALUE"""),44813.66666666667)</f>
        <v>44813.66667</v>
      </c>
      <c r="B682" s="11">
        <f>IFERROR(__xludf.DUMMYFUNCTION("""COMPUTED_VALUE"""),62.32)</f>
        <v>62.32</v>
      </c>
      <c r="C682" s="12">
        <f>IFERROR(__xludf.DUMMYFUNCTION("""COMPUTED_VALUE"""),44813.66666666667)</f>
        <v>44813.66667</v>
      </c>
      <c r="D682" s="11">
        <f>IFERROR(__xludf.DUMMYFUNCTION("""COMPUTED_VALUE"""),264.46)</f>
        <v>264.46</v>
      </c>
      <c r="E682" s="12">
        <f>IFERROR(__xludf.DUMMYFUNCTION("""COMPUTED_VALUE"""),44813.66666666667)</f>
        <v>44813.66667</v>
      </c>
      <c r="F682" s="11">
        <f>IFERROR(__xludf.DUMMYFUNCTION("""COMPUTED_VALUE"""),299.68)</f>
        <v>299.68</v>
      </c>
      <c r="G682" s="12">
        <f>IFERROR(__xludf.DUMMYFUNCTION("""COMPUTED_VALUE"""),44813.66666666667)</f>
        <v>44813.66667</v>
      </c>
      <c r="H682" s="11">
        <f>IFERROR(__xludf.DUMMYFUNCTION("""COMPUTED_VALUE"""),157.37)</f>
        <v>157.37</v>
      </c>
    </row>
    <row r="683" ht="15.75" customHeight="1">
      <c r="A683" s="12">
        <f>IFERROR(__xludf.DUMMYFUNCTION("""COMPUTED_VALUE"""),44816.66666666667)</f>
        <v>44816.66667</v>
      </c>
      <c r="B683" s="11">
        <f>IFERROR(__xludf.DUMMYFUNCTION("""COMPUTED_VALUE"""),62.5)</f>
        <v>62.5</v>
      </c>
      <c r="C683" s="12">
        <f>IFERROR(__xludf.DUMMYFUNCTION("""COMPUTED_VALUE"""),44816.66666666667)</f>
        <v>44816.66667</v>
      </c>
      <c r="D683" s="11">
        <f>IFERROR(__xludf.DUMMYFUNCTION("""COMPUTED_VALUE"""),266.65)</f>
        <v>266.65</v>
      </c>
      <c r="E683" s="12">
        <f>IFERROR(__xludf.DUMMYFUNCTION("""COMPUTED_VALUE"""),44816.66666666667)</f>
        <v>44816.66667</v>
      </c>
      <c r="F683" s="11">
        <f>IFERROR(__xludf.DUMMYFUNCTION("""COMPUTED_VALUE"""),304.42)</f>
        <v>304.42</v>
      </c>
      <c r="G683" s="12">
        <f>IFERROR(__xludf.DUMMYFUNCTION("""COMPUTED_VALUE"""),44816.66666666667)</f>
        <v>44816.66667</v>
      </c>
      <c r="H683" s="11">
        <f>IFERROR(__xludf.DUMMYFUNCTION("""COMPUTED_VALUE"""),163.43)</f>
        <v>163.43</v>
      </c>
    </row>
    <row r="684" ht="15.75" customHeight="1">
      <c r="A684" s="12">
        <f>IFERROR(__xludf.DUMMYFUNCTION("""COMPUTED_VALUE"""),44817.66666666667)</f>
        <v>44817.66667</v>
      </c>
      <c r="B684" s="11">
        <f>IFERROR(__xludf.DUMMYFUNCTION("""COMPUTED_VALUE"""),60.47)</f>
        <v>60.47</v>
      </c>
      <c r="C684" s="12">
        <f>IFERROR(__xludf.DUMMYFUNCTION("""COMPUTED_VALUE"""),44817.66666666667)</f>
        <v>44817.66667</v>
      </c>
      <c r="D684" s="11">
        <f>IFERROR(__xludf.DUMMYFUNCTION("""COMPUTED_VALUE"""),251.99)</f>
        <v>251.99</v>
      </c>
      <c r="E684" s="12">
        <f>IFERROR(__xludf.DUMMYFUNCTION("""COMPUTED_VALUE"""),44817.66666666667)</f>
        <v>44817.66667</v>
      </c>
      <c r="F684" s="11">
        <f>IFERROR(__xludf.DUMMYFUNCTION("""COMPUTED_VALUE"""),292.13)</f>
        <v>292.13</v>
      </c>
      <c r="G684" s="12">
        <f>IFERROR(__xludf.DUMMYFUNCTION("""COMPUTED_VALUE"""),44817.66666666667)</f>
        <v>44817.66667</v>
      </c>
      <c r="H684" s="11">
        <f>IFERROR(__xludf.DUMMYFUNCTION("""COMPUTED_VALUE"""),153.84)</f>
        <v>153.84</v>
      </c>
    </row>
    <row r="685" ht="15.75" customHeight="1">
      <c r="A685" s="12">
        <f>IFERROR(__xludf.DUMMYFUNCTION("""COMPUTED_VALUE"""),44818.66666666667)</f>
        <v>44818.66667</v>
      </c>
      <c r="B685" s="11">
        <f>IFERROR(__xludf.DUMMYFUNCTION("""COMPUTED_VALUE"""),60.79)</f>
        <v>60.79</v>
      </c>
      <c r="C685" s="12">
        <f>IFERROR(__xludf.DUMMYFUNCTION("""COMPUTED_VALUE"""),44818.66666666667)</f>
        <v>44818.66667</v>
      </c>
      <c r="D685" s="11">
        <f>IFERROR(__xludf.DUMMYFUNCTION("""COMPUTED_VALUE"""),252.22)</f>
        <v>252.22</v>
      </c>
      <c r="E685" s="12">
        <f>IFERROR(__xludf.DUMMYFUNCTION("""COMPUTED_VALUE"""),44818.66666666667)</f>
        <v>44818.66667</v>
      </c>
      <c r="F685" s="11">
        <f>IFERROR(__xludf.DUMMYFUNCTION("""COMPUTED_VALUE"""),302.61)</f>
        <v>302.61</v>
      </c>
      <c r="G685" s="12">
        <f>IFERROR(__xludf.DUMMYFUNCTION("""COMPUTED_VALUE"""),44818.66666666667)</f>
        <v>44818.66667</v>
      </c>
      <c r="H685" s="11">
        <f>IFERROR(__xludf.DUMMYFUNCTION("""COMPUTED_VALUE"""),155.31)</f>
        <v>155.31</v>
      </c>
    </row>
    <row r="686" ht="15.75" customHeight="1">
      <c r="A686" s="12">
        <f>IFERROR(__xludf.DUMMYFUNCTION("""COMPUTED_VALUE"""),44819.66666666667)</f>
        <v>44819.66667</v>
      </c>
      <c r="B686" s="11">
        <f>IFERROR(__xludf.DUMMYFUNCTION("""COMPUTED_VALUE"""),59.53)</f>
        <v>59.53</v>
      </c>
      <c r="C686" s="12">
        <f>IFERROR(__xludf.DUMMYFUNCTION("""COMPUTED_VALUE"""),44819.66666666667)</f>
        <v>44819.66667</v>
      </c>
      <c r="D686" s="11">
        <f>IFERROR(__xludf.DUMMYFUNCTION("""COMPUTED_VALUE"""),245.38)</f>
        <v>245.38</v>
      </c>
      <c r="E686" s="12">
        <f>IFERROR(__xludf.DUMMYFUNCTION("""COMPUTED_VALUE"""),44819.66666666667)</f>
        <v>44819.66667</v>
      </c>
      <c r="F686" s="11">
        <f>IFERROR(__xludf.DUMMYFUNCTION("""COMPUTED_VALUE"""),303.75)</f>
        <v>303.75</v>
      </c>
      <c r="G686" s="12">
        <f>IFERROR(__xludf.DUMMYFUNCTION("""COMPUTED_VALUE"""),44819.66666666667)</f>
        <v>44819.66667</v>
      </c>
      <c r="H686" s="11">
        <f>IFERROR(__xludf.DUMMYFUNCTION("""COMPUTED_VALUE"""),152.37)</f>
        <v>152.37</v>
      </c>
    </row>
    <row r="687" ht="15.75" customHeight="1">
      <c r="A687" s="12">
        <f>IFERROR(__xludf.DUMMYFUNCTION("""COMPUTED_VALUE"""),44820.66666666667)</f>
        <v>44820.66667</v>
      </c>
      <c r="B687" s="11">
        <f>IFERROR(__xludf.DUMMYFUNCTION("""COMPUTED_VALUE"""),59.54)</f>
        <v>59.54</v>
      </c>
      <c r="C687" s="12">
        <f>IFERROR(__xludf.DUMMYFUNCTION("""COMPUTED_VALUE"""),44820.66666666667)</f>
        <v>44820.66667</v>
      </c>
      <c r="D687" s="11">
        <f>IFERROR(__xludf.DUMMYFUNCTION("""COMPUTED_VALUE"""),244.74)</f>
        <v>244.74</v>
      </c>
      <c r="E687" s="12">
        <f>IFERROR(__xludf.DUMMYFUNCTION("""COMPUTED_VALUE"""),44820.66666666667)</f>
        <v>44820.66667</v>
      </c>
      <c r="F687" s="11">
        <f>IFERROR(__xludf.DUMMYFUNCTION("""COMPUTED_VALUE"""),303.35)</f>
        <v>303.35</v>
      </c>
      <c r="G687" s="12">
        <f>IFERROR(__xludf.DUMMYFUNCTION("""COMPUTED_VALUE"""),44820.66666666667)</f>
        <v>44820.66667</v>
      </c>
      <c r="H687" s="11">
        <f>IFERROR(__xludf.DUMMYFUNCTION("""COMPUTED_VALUE"""),150.7)</f>
        <v>150.7</v>
      </c>
    </row>
    <row r="688" ht="15.75" customHeight="1">
      <c r="A688" s="12">
        <f>IFERROR(__xludf.DUMMYFUNCTION("""COMPUTED_VALUE"""),44823.66666666667)</f>
        <v>44823.66667</v>
      </c>
      <c r="B688" s="11">
        <f>IFERROR(__xludf.DUMMYFUNCTION("""COMPUTED_VALUE"""),59.99)</f>
        <v>59.99</v>
      </c>
      <c r="C688" s="12">
        <f>IFERROR(__xludf.DUMMYFUNCTION("""COMPUTED_VALUE"""),44823.66666666667)</f>
        <v>44823.66667</v>
      </c>
      <c r="D688" s="11">
        <f>IFERROR(__xludf.DUMMYFUNCTION("""COMPUTED_VALUE"""),244.52)</f>
        <v>244.52</v>
      </c>
      <c r="E688" s="12">
        <f>IFERROR(__xludf.DUMMYFUNCTION("""COMPUTED_VALUE"""),44823.66666666667)</f>
        <v>44823.66667</v>
      </c>
      <c r="F688" s="11">
        <f>IFERROR(__xludf.DUMMYFUNCTION("""COMPUTED_VALUE"""),309.07)</f>
        <v>309.07</v>
      </c>
      <c r="G688" s="12">
        <f>IFERROR(__xludf.DUMMYFUNCTION("""COMPUTED_VALUE"""),44823.66666666667)</f>
        <v>44823.66667</v>
      </c>
      <c r="H688" s="11">
        <f>IFERROR(__xludf.DUMMYFUNCTION("""COMPUTED_VALUE"""),154.48)</f>
        <v>154.48</v>
      </c>
    </row>
    <row r="689" ht="15.75" customHeight="1">
      <c r="A689" s="12">
        <f>IFERROR(__xludf.DUMMYFUNCTION("""COMPUTED_VALUE"""),44824.66666666667)</f>
        <v>44824.66667</v>
      </c>
      <c r="B689" s="11">
        <f>IFERROR(__xludf.DUMMYFUNCTION("""COMPUTED_VALUE"""),59.9)</f>
        <v>59.9</v>
      </c>
      <c r="C689" s="12">
        <f>IFERROR(__xludf.DUMMYFUNCTION("""COMPUTED_VALUE"""),44824.66666666667)</f>
        <v>44824.66667</v>
      </c>
      <c r="D689" s="11">
        <f>IFERROR(__xludf.DUMMYFUNCTION("""COMPUTED_VALUE"""),242.45)</f>
        <v>242.45</v>
      </c>
      <c r="E689" s="12">
        <f>IFERROR(__xludf.DUMMYFUNCTION("""COMPUTED_VALUE"""),44824.66666666667)</f>
        <v>44824.66667</v>
      </c>
      <c r="F689" s="11">
        <f>IFERROR(__xludf.DUMMYFUNCTION("""COMPUTED_VALUE"""),308.73)</f>
        <v>308.73</v>
      </c>
      <c r="G689" s="12">
        <f>IFERROR(__xludf.DUMMYFUNCTION("""COMPUTED_VALUE"""),44824.66666666667)</f>
        <v>44824.66667</v>
      </c>
      <c r="H689" s="11">
        <f>IFERROR(__xludf.DUMMYFUNCTION("""COMPUTED_VALUE"""),156.9)</f>
        <v>156.9</v>
      </c>
    </row>
    <row r="690" ht="15.75" customHeight="1">
      <c r="A690" s="12">
        <f>IFERROR(__xludf.DUMMYFUNCTION("""COMPUTED_VALUE"""),44825.66666666667)</f>
        <v>44825.66667</v>
      </c>
      <c r="B690" s="11">
        <f>IFERROR(__xludf.DUMMYFUNCTION("""COMPUTED_VALUE"""),59.4)</f>
        <v>59.4</v>
      </c>
      <c r="C690" s="12">
        <f>IFERROR(__xludf.DUMMYFUNCTION("""COMPUTED_VALUE"""),44825.66666666667)</f>
        <v>44825.66667</v>
      </c>
      <c r="D690" s="11">
        <f>IFERROR(__xludf.DUMMYFUNCTION("""COMPUTED_VALUE"""),238.95)</f>
        <v>238.95</v>
      </c>
      <c r="E690" s="12">
        <f>IFERROR(__xludf.DUMMYFUNCTION("""COMPUTED_VALUE"""),44825.66666666667)</f>
        <v>44825.66667</v>
      </c>
      <c r="F690" s="11">
        <f>IFERROR(__xludf.DUMMYFUNCTION("""COMPUTED_VALUE"""),300.8)</f>
        <v>300.8</v>
      </c>
      <c r="G690" s="12">
        <f>IFERROR(__xludf.DUMMYFUNCTION("""COMPUTED_VALUE"""),44825.66666666667)</f>
        <v>44825.66667</v>
      </c>
      <c r="H690" s="11">
        <f>IFERROR(__xludf.DUMMYFUNCTION("""COMPUTED_VALUE"""),153.72)</f>
        <v>153.72</v>
      </c>
    </row>
    <row r="691" ht="15.75" customHeight="1">
      <c r="A691" s="12">
        <f>IFERROR(__xludf.DUMMYFUNCTION("""COMPUTED_VALUE"""),44826.66666666667)</f>
        <v>44826.66667</v>
      </c>
      <c r="B691" s="11">
        <f>IFERROR(__xludf.DUMMYFUNCTION("""COMPUTED_VALUE"""),59.26)</f>
        <v>59.26</v>
      </c>
      <c r="C691" s="12">
        <f>IFERROR(__xludf.DUMMYFUNCTION("""COMPUTED_VALUE"""),44826.66666666667)</f>
        <v>44826.66667</v>
      </c>
      <c r="D691" s="11">
        <f>IFERROR(__xludf.DUMMYFUNCTION("""COMPUTED_VALUE"""),240.98)</f>
        <v>240.98</v>
      </c>
      <c r="E691" s="12">
        <f>IFERROR(__xludf.DUMMYFUNCTION("""COMPUTED_VALUE"""),44826.66666666667)</f>
        <v>44826.66667</v>
      </c>
      <c r="F691" s="11">
        <f>IFERROR(__xludf.DUMMYFUNCTION("""COMPUTED_VALUE"""),288.59)</f>
        <v>288.59</v>
      </c>
      <c r="G691" s="12">
        <f>IFERROR(__xludf.DUMMYFUNCTION("""COMPUTED_VALUE"""),44826.66666666667)</f>
        <v>44826.66667</v>
      </c>
      <c r="H691" s="11">
        <f>IFERROR(__xludf.DUMMYFUNCTION("""COMPUTED_VALUE"""),152.74)</f>
        <v>152.74</v>
      </c>
    </row>
    <row r="692" ht="15.75" customHeight="1">
      <c r="A692" s="12">
        <f>IFERROR(__xludf.DUMMYFUNCTION("""COMPUTED_VALUE"""),44827.66666666667)</f>
        <v>44827.66667</v>
      </c>
      <c r="B692" s="11">
        <f>IFERROR(__xludf.DUMMYFUNCTION("""COMPUTED_VALUE"""),58.6)</f>
        <v>58.6</v>
      </c>
      <c r="C692" s="12">
        <f>IFERROR(__xludf.DUMMYFUNCTION("""COMPUTED_VALUE"""),44827.66666666667)</f>
        <v>44827.66667</v>
      </c>
      <c r="D692" s="11">
        <f>IFERROR(__xludf.DUMMYFUNCTION("""COMPUTED_VALUE"""),237.92)</f>
        <v>237.92</v>
      </c>
      <c r="E692" s="12">
        <f>IFERROR(__xludf.DUMMYFUNCTION("""COMPUTED_VALUE"""),44827.66666666667)</f>
        <v>44827.66667</v>
      </c>
      <c r="F692" s="11">
        <f>IFERROR(__xludf.DUMMYFUNCTION("""COMPUTED_VALUE"""),275.33)</f>
        <v>275.33</v>
      </c>
      <c r="G692" s="12">
        <f>IFERROR(__xludf.DUMMYFUNCTION("""COMPUTED_VALUE"""),44827.66666666667)</f>
        <v>44827.66667</v>
      </c>
      <c r="H692" s="11">
        <f>IFERROR(__xludf.DUMMYFUNCTION("""COMPUTED_VALUE"""),150.43)</f>
        <v>150.43</v>
      </c>
    </row>
    <row r="693" ht="15.75" customHeight="1">
      <c r="A693" s="12">
        <f>IFERROR(__xludf.DUMMYFUNCTION("""COMPUTED_VALUE"""),44830.66666666667)</f>
        <v>44830.66667</v>
      </c>
      <c r="B693" s="11">
        <f>IFERROR(__xludf.DUMMYFUNCTION("""COMPUTED_VALUE"""),57.87)</f>
        <v>57.87</v>
      </c>
      <c r="C693" s="12">
        <f>IFERROR(__xludf.DUMMYFUNCTION("""COMPUTED_VALUE"""),44830.66666666667)</f>
        <v>44830.66667</v>
      </c>
      <c r="D693" s="11">
        <f>IFERROR(__xludf.DUMMYFUNCTION("""COMPUTED_VALUE"""),237.45)</f>
        <v>237.45</v>
      </c>
      <c r="E693" s="12">
        <f>IFERROR(__xludf.DUMMYFUNCTION("""COMPUTED_VALUE"""),44830.66666666667)</f>
        <v>44830.66667</v>
      </c>
      <c r="F693" s="11">
        <f>IFERROR(__xludf.DUMMYFUNCTION("""COMPUTED_VALUE"""),276.01)</f>
        <v>276.01</v>
      </c>
      <c r="G693" s="12">
        <f>IFERROR(__xludf.DUMMYFUNCTION("""COMPUTED_VALUE"""),44830.66666666667)</f>
        <v>44830.66667</v>
      </c>
      <c r="H693" s="11">
        <f>IFERROR(__xludf.DUMMYFUNCTION("""COMPUTED_VALUE"""),150.77)</f>
        <v>150.77</v>
      </c>
    </row>
    <row r="694" ht="15.75" customHeight="1">
      <c r="A694" s="12">
        <f>IFERROR(__xludf.DUMMYFUNCTION("""COMPUTED_VALUE"""),44831.66666666667)</f>
        <v>44831.66667</v>
      </c>
      <c r="B694" s="11">
        <f>IFERROR(__xludf.DUMMYFUNCTION("""COMPUTED_VALUE"""),56.38)</f>
        <v>56.38</v>
      </c>
      <c r="C694" s="12">
        <f>IFERROR(__xludf.DUMMYFUNCTION("""COMPUTED_VALUE"""),44831.66666666667)</f>
        <v>44831.66667</v>
      </c>
      <c r="D694" s="11">
        <f>IFERROR(__xludf.DUMMYFUNCTION("""COMPUTED_VALUE"""),236.41)</f>
        <v>236.41</v>
      </c>
      <c r="E694" s="12">
        <f>IFERROR(__xludf.DUMMYFUNCTION("""COMPUTED_VALUE"""),44831.66666666667)</f>
        <v>44831.66667</v>
      </c>
      <c r="F694" s="11">
        <f>IFERROR(__xludf.DUMMYFUNCTION("""COMPUTED_VALUE"""),282.94)</f>
        <v>282.94</v>
      </c>
      <c r="G694" s="12">
        <f>IFERROR(__xludf.DUMMYFUNCTION("""COMPUTED_VALUE"""),44831.66666666667)</f>
        <v>44831.66667</v>
      </c>
      <c r="H694" s="11">
        <f>IFERROR(__xludf.DUMMYFUNCTION("""COMPUTED_VALUE"""),151.76)</f>
        <v>151.76</v>
      </c>
    </row>
    <row r="695" ht="15.75" customHeight="1">
      <c r="A695" s="12">
        <f>IFERROR(__xludf.DUMMYFUNCTION("""COMPUTED_VALUE"""),44832.66666666667)</f>
        <v>44832.66667</v>
      </c>
      <c r="B695" s="11">
        <f>IFERROR(__xludf.DUMMYFUNCTION("""COMPUTED_VALUE"""),56.98)</f>
        <v>56.98</v>
      </c>
      <c r="C695" s="12">
        <f>IFERROR(__xludf.DUMMYFUNCTION("""COMPUTED_VALUE"""),44832.66666666667)</f>
        <v>44832.66667</v>
      </c>
      <c r="D695" s="11">
        <f>IFERROR(__xludf.DUMMYFUNCTION("""COMPUTED_VALUE"""),241.07)</f>
        <v>241.07</v>
      </c>
      <c r="E695" s="12">
        <f>IFERROR(__xludf.DUMMYFUNCTION("""COMPUTED_VALUE"""),44832.66666666667)</f>
        <v>44832.66667</v>
      </c>
      <c r="F695" s="11">
        <f>IFERROR(__xludf.DUMMYFUNCTION("""COMPUTED_VALUE"""),287.81)</f>
        <v>287.81</v>
      </c>
      <c r="G695" s="12">
        <f>IFERROR(__xludf.DUMMYFUNCTION("""COMPUTED_VALUE"""),44832.66666666667)</f>
        <v>44832.66667</v>
      </c>
      <c r="H695" s="11">
        <f>IFERROR(__xludf.DUMMYFUNCTION("""COMPUTED_VALUE"""),149.84)</f>
        <v>149.84</v>
      </c>
    </row>
    <row r="696" ht="15.75" customHeight="1">
      <c r="A696" s="12">
        <f>IFERROR(__xludf.DUMMYFUNCTION("""COMPUTED_VALUE"""),44833.66666666667)</f>
        <v>44833.66667</v>
      </c>
      <c r="B696" s="11">
        <f>IFERROR(__xludf.DUMMYFUNCTION("""COMPUTED_VALUE"""),56.57)</f>
        <v>56.57</v>
      </c>
      <c r="C696" s="12">
        <f>IFERROR(__xludf.DUMMYFUNCTION("""COMPUTED_VALUE"""),44833.66666666667)</f>
        <v>44833.66667</v>
      </c>
      <c r="D696" s="11">
        <f>IFERROR(__xludf.DUMMYFUNCTION("""COMPUTED_VALUE"""),237.5)</f>
        <v>237.5</v>
      </c>
      <c r="E696" s="12">
        <f>IFERROR(__xludf.DUMMYFUNCTION("""COMPUTED_VALUE"""),44833.66666666667)</f>
        <v>44833.66667</v>
      </c>
      <c r="F696" s="11">
        <f>IFERROR(__xludf.DUMMYFUNCTION("""COMPUTED_VALUE"""),268.21)</f>
        <v>268.21</v>
      </c>
      <c r="G696" s="12">
        <f>IFERROR(__xludf.DUMMYFUNCTION("""COMPUTED_VALUE"""),44833.66666666667)</f>
        <v>44833.66667</v>
      </c>
      <c r="H696" s="11">
        <f>IFERROR(__xludf.DUMMYFUNCTION("""COMPUTED_VALUE"""),142.48)</f>
        <v>142.48</v>
      </c>
    </row>
    <row r="697" ht="15.75" customHeight="1">
      <c r="A697" s="12">
        <f>IFERROR(__xludf.DUMMYFUNCTION("""COMPUTED_VALUE"""),44834.66666666667)</f>
        <v>44834.66667</v>
      </c>
      <c r="B697" s="11">
        <f>IFERROR(__xludf.DUMMYFUNCTION("""COMPUTED_VALUE"""),56.02)</f>
        <v>56.02</v>
      </c>
      <c r="C697" s="12">
        <f>IFERROR(__xludf.DUMMYFUNCTION("""COMPUTED_VALUE"""),44834.66666666667)</f>
        <v>44834.66667</v>
      </c>
      <c r="D697" s="11">
        <f>IFERROR(__xludf.DUMMYFUNCTION("""COMPUTED_VALUE"""),232.9)</f>
        <v>232.9</v>
      </c>
      <c r="E697" s="12">
        <f>IFERROR(__xludf.DUMMYFUNCTION("""COMPUTED_VALUE"""),44834.66666666667)</f>
        <v>44834.66667</v>
      </c>
      <c r="F697" s="11">
        <f>IFERROR(__xludf.DUMMYFUNCTION("""COMPUTED_VALUE"""),265.25)</f>
        <v>265.25</v>
      </c>
      <c r="G697" s="12">
        <f>IFERROR(__xludf.DUMMYFUNCTION("""COMPUTED_VALUE"""),44834.66666666667)</f>
        <v>44834.66667</v>
      </c>
      <c r="H697" s="11">
        <f>IFERROR(__xludf.DUMMYFUNCTION("""COMPUTED_VALUE"""),138.2)</f>
        <v>138.2</v>
      </c>
    </row>
    <row r="698" ht="15.75" customHeight="1">
      <c r="A698" s="12">
        <f>IFERROR(__xludf.DUMMYFUNCTION("""COMPUTED_VALUE"""),44837.66666666667)</f>
        <v>44837.66667</v>
      </c>
      <c r="B698" s="11">
        <f>IFERROR(__xludf.DUMMYFUNCTION("""COMPUTED_VALUE"""),56.65)</f>
        <v>56.65</v>
      </c>
      <c r="C698" s="12">
        <f>IFERROR(__xludf.DUMMYFUNCTION("""COMPUTED_VALUE"""),44837.66666666667)</f>
        <v>44837.66667</v>
      </c>
      <c r="D698" s="11">
        <f>IFERROR(__xludf.DUMMYFUNCTION("""COMPUTED_VALUE"""),240.74)</f>
        <v>240.74</v>
      </c>
      <c r="E698" s="12">
        <f>IFERROR(__xludf.DUMMYFUNCTION("""COMPUTED_VALUE"""),44837.66666666667)</f>
        <v>44837.66667</v>
      </c>
      <c r="F698" s="11">
        <f>IFERROR(__xludf.DUMMYFUNCTION("""COMPUTED_VALUE"""),242.4)</f>
        <v>242.4</v>
      </c>
      <c r="G698" s="12">
        <f>IFERROR(__xludf.DUMMYFUNCTION("""COMPUTED_VALUE"""),44837.66666666667)</f>
        <v>44837.66667</v>
      </c>
      <c r="H698" s="11">
        <f>IFERROR(__xludf.DUMMYFUNCTION("""COMPUTED_VALUE"""),142.45)</f>
        <v>142.45</v>
      </c>
    </row>
    <row r="699" ht="15.75" customHeight="1">
      <c r="A699" s="12">
        <f>IFERROR(__xludf.DUMMYFUNCTION("""COMPUTED_VALUE"""),44838.66666666667)</f>
        <v>44838.66667</v>
      </c>
      <c r="B699" s="11">
        <f>IFERROR(__xludf.DUMMYFUNCTION("""COMPUTED_VALUE"""),56.78)</f>
        <v>56.78</v>
      </c>
      <c r="C699" s="12">
        <f>IFERROR(__xludf.DUMMYFUNCTION("""COMPUTED_VALUE"""),44838.66666666667)</f>
        <v>44838.66667</v>
      </c>
      <c r="D699" s="11">
        <f>IFERROR(__xludf.DUMMYFUNCTION("""COMPUTED_VALUE"""),248.88)</f>
        <v>248.88</v>
      </c>
      <c r="E699" s="12">
        <f>IFERROR(__xludf.DUMMYFUNCTION("""COMPUTED_VALUE"""),44838.66666666667)</f>
        <v>44838.66667</v>
      </c>
      <c r="F699" s="11">
        <f>IFERROR(__xludf.DUMMYFUNCTION("""COMPUTED_VALUE"""),249.44)</f>
        <v>249.44</v>
      </c>
      <c r="G699" s="12">
        <f>IFERROR(__xludf.DUMMYFUNCTION("""COMPUTED_VALUE"""),44838.66666666667)</f>
        <v>44838.66667</v>
      </c>
      <c r="H699" s="11">
        <f>IFERROR(__xludf.DUMMYFUNCTION("""COMPUTED_VALUE"""),146.1)</f>
        <v>146.1</v>
      </c>
    </row>
    <row r="700" ht="15.75" customHeight="1">
      <c r="A700" s="12">
        <f>IFERROR(__xludf.DUMMYFUNCTION("""COMPUTED_VALUE"""),44839.66666666667)</f>
        <v>44839.66667</v>
      </c>
      <c r="B700" s="11">
        <f>IFERROR(__xludf.DUMMYFUNCTION("""COMPUTED_VALUE"""),56.24)</f>
        <v>56.24</v>
      </c>
      <c r="C700" s="12">
        <f>IFERROR(__xludf.DUMMYFUNCTION("""COMPUTED_VALUE"""),44839.66666666667)</f>
        <v>44839.66667</v>
      </c>
      <c r="D700" s="11">
        <f>IFERROR(__xludf.DUMMYFUNCTION("""COMPUTED_VALUE"""),249.2)</f>
        <v>249.2</v>
      </c>
      <c r="E700" s="12">
        <f>IFERROR(__xludf.DUMMYFUNCTION("""COMPUTED_VALUE"""),44839.66666666667)</f>
        <v>44839.66667</v>
      </c>
      <c r="F700" s="11">
        <f>IFERROR(__xludf.DUMMYFUNCTION("""COMPUTED_VALUE"""),240.81)</f>
        <v>240.81</v>
      </c>
      <c r="G700" s="12">
        <f>IFERROR(__xludf.DUMMYFUNCTION("""COMPUTED_VALUE"""),44839.66666666667)</f>
        <v>44839.66667</v>
      </c>
      <c r="H700" s="11">
        <f>IFERROR(__xludf.DUMMYFUNCTION("""COMPUTED_VALUE"""),146.4)</f>
        <v>146.4</v>
      </c>
    </row>
    <row r="701" ht="15.75" customHeight="1">
      <c r="A701" s="12">
        <f>IFERROR(__xludf.DUMMYFUNCTION("""COMPUTED_VALUE"""),44840.66666666667)</f>
        <v>44840.66667</v>
      </c>
      <c r="B701" s="11">
        <f>IFERROR(__xludf.DUMMYFUNCTION("""COMPUTED_VALUE"""),55.03)</f>
        <v>55.03</v>
      </c>
      <c r="C701" s="12">
        <f>IFERROR(__xludf.DUMMYFUNCTION("""COMPUTED_VALUE"""),44840.66666666667)</f>
        <v>44840.66667</v>
      </c>
      <c r="D701" s="11">
        <f>IFERROR(__xludf.DUMMYFUNCTION("""COMPUTED_VALUE"""),246.79)</f>
        <v>246.79</v>
      </c>
      <c r="E701" s="12">
        <f>IFERROR(__xludf.DUMMYFUNCTION("""COMPUTED_VALUE"""),44840.66666666667)</f>
        <v>44840.66667</v>
      </c>
      <c r="F701" s="11">
        <f>IFERROR(__xludf.DUMMYFUNCTION("""COMPUTED_VALUE"""),238.13)</f>
        <v>238.13</v>
      </c>
      <c r="G701" s="12">
        <f>IFERROR(__xludf.DUMMYFUNCTION("""COMPUTED_VALUE"""),44840.66666666667)</f>
        <v>44840.66667</v>
      </c>
      <c r="H701" s="11">
        <f>IFERROR(__xludf.DUMMYFUNCTION("""COMPUTED_VALUE"""),145.43)</f>
        <v>145.43</v>
      </c>
    </row>
    <row r="702" ht="15.75" customHeight="1">
      <c r="A702" s="12">
        <f>IFERROR(__xludf.DUMMYFUNCTION("""COMPUTED_VALUE"""),44841.66666666667)</f>
        <v>44841.66667</v>
      </c>
      <c r="B702" s="11">
        <f>IFERROR(__xludf.DUMMYFUNCTION("""COMPUTED_VALUE"""),54.51)</f>
        <v>54.51</v>
      </c>
      <c r="C702" s="12">
        <f>IFERROR(__xludf.DUMMYFUNCTION("""COMPUTED_VALUE"""),44841.66666666667)</f>
        <v>44841.66667</v>
      </c>
      <c r="D702" s="11">
        <f>IFERROR(__xludf.DUMMYFUNCTION("""COMPUTED_VALUE"""),234.24)</f>
        <v>234.24</v>
      </c>
      <c r="E702" s="12">
        <f>IFERROR(__xludf.DUMMYFUNCTION("""COMPUTED_VALUE"""),44841.66666666667)</f>
        <v>44841.66667</v>
      </c>
      <c r="F702" s="11">
        <f>IFERROR(__xludf.DUMMYFUNCTION("""COMPUTED_VALUE"""),223.07)</f>
        <v>223.07</v>
      </c>
      <c r="G702" s="12">
        <f>IFERROR(__xludf.DUMMYFUNCTION("""COMPUTED_VALUE"""),44841.66666666667)</f>
        <v>44841.66667</v>
      </c>
      <c r="H702" s="11">
        <f>IFERROR(__xludf.DUMMYFUNCTION("""COMPUTED_VALUE"""),140.09)</f>
        <v>140.09</v>
      </c>
    </row>
    <row r="703" ht="15.75" customHeight="1">
      <c r="A703" s="12">
        <f>IFERROR(__xludf.DUMMYFUNCTION("""COMPUTED_VALUE"""),44844.66666666667)</f>
        <v>44844.66667</v>
      </c>
      <c r="B703" s="11">
        <f>IFERROR(__xludf.DUMMYFUNCTION("""COMPUTED_VALUE"""),54.39)</f>
        <v>54.39</v>
      </c>
      <c r="C703" s="12">
        <f>IFERROR(__xludf.DUMMYFUNCTION("""COMPUTED_VALUE"""),44844.66666666667)</f>
        <v>44844.66667</v>
      </c>
      <c r="D703" s="11">
        <f>IFERROR(__xludf.DUMMYFUNCTION("""COMPUTED_VALUE"""),229.25)</f>
        <v>229.25</v>
      </c>
      <c r="E703" s="12">
        <f>IFERROR(__xludf.DUMMYFUNCTION("""COMPUTED_VALUE"""),44844.66666666667)</f>
        <v>44844.66667</v>
      </c>
      <c r="F703" s="11">
        <f>IFERROR(__xludf.DUMMYFUNCTION("""COMPUTED_VALUE"""),222.96)</f>
        <v>222.96</v>
      </c>
      <c r="G703" s="12">
        <f>IFERROR(__xludf.DUMMYFUNCTION("""COMPUTED_VALUE"""),44844.66666666667)</f>
        <v>44844.66667</v>
      </c>
      <c r="H703" s="11">
        <f>IFERROR(__xludf.DUMMYFUNCTION("""COMPUTED_VALUE"""),140.42)</f>
        <v>140.42</v>
      </c>
    </row>
    <row r="704" ht="15.75" customHeight="1">
      <c r="A704" s="12">
        <f>IFERROR(__xludf.DUMMYFUNCTION("""COMPUTED_VALUE"""),44845.66666666667)</f>
        <v>44845.66667</v>
      </c>
      <c r="B704" s="11">
        <f>IFERROR(__xludf.DUMMYFUNCTION("""COMPUTED_VALUE"""),54.48)</f>
        <v>54.48</v>
      </c>
      <c r="C704" s="12">
        <f>IFERROR(__xludf.DUMMYFUNCTION("""COMPUTED_VALUE"""),44845.66666666667)</f>
        <v>44845.66667</v>
      </c>
      <c r="D704" s="11">
        <f>IFERROR(__xludf.DUMMYFUNCTION("""COMPUTED_VALUE"""),225.41)</f>
        <v>225.41</v>
      </c>
      <c r="E704" s="12">
        <f>IFERROR(__xludf.DUMMYFUNCTION("""COMPUTED_VALUE"""),44845.66666666667)</f>
        <v>44845.66667</v>
      </c>
      <c r="F704" s="11">
        <f>IFERROR(__xludf.DUMMYFUNCTION("""COMPUTED_VALUE"""),216.5)</f>
        <v>216.5</v>
      </c>
      <c r="G704" s="12">
        <f>IFERROR(__xludf.DUMMYFUNCTION("""COMPUTED_VALUE"""),44845.66666666667)</f>
        <v>44845.66667</v>
      </c>
      <c r="H704" s="11">
        <f>IFERROR(__xludf.DUMMYFUNCTION("""COMPUTED_VALUE"""),138.98)</f>
        <v>138.98</v>
      </c>
    </row>
    <row r="705" ht="15.75" customHeight="1">
      <c r="A705" s="12">
        <f>IFERROR(__xludf.DUMMYFUNCTION("""COMPUTED_VALUE"""),44846.66666666667)</f>
        <v>44846.66667</v>
      </c>
      <c r="B705" s="11">
        <f>IFERROR(__xludf.DUMMYFUNCTION("""COMPUTED_VALUE"""),55.14)</f>
        <v>55.14</v>
      </c>
      <c r="C705" s="12">
        <f>IFERROR(__xludf.DUMMYFUNCTION("""COMPUTED_VALUE"""),44846.66666666667)</f>
        <v>44846.66667</v>
      </c>
      <c r="D705" s="11">
        <f>IFERROR(__xludf.DUMMYFUNCTION("""COMPUTED_VALUE"""),225.75)</f>
        <v>225.75</v>
      </c>
      <c r="E705" s="12">
        <f>IFERROR(__xludf.DUMMYFUNCTION("""COMPUTED_VALUE"""),44846.66666666667)</f>
        <v>44846.66667</v>
      </c>
      <c r="F705" s="11">
        <f>IFERROR(__xludf.DUMMYFUNCTION("""COMPUTED_VALUE"""),217.24)</f>
        <v>217.24</v>
      </c>
      <c r="G705" s="12">
        <f>IFERROR(__xludf.DUMMYFUNCTION("""COMPUTED_VALUE"""),44846.66666666667)</f>
        <v>44846.66667</v>
      </c>
      <c r="H705" s="11">
        <f>IFERROR(__xludf.DUMMYFUNCTION("""COMPUTED_VALUE"""),138.34)</f>
        <v>138.34</v>
      </c>
    </row>
    <row r="706" ht="15.75" customHeight="1">
      <c r="A706" s="12">
        <f>IFERROR(__xludf.DUMMYFUNCTION("""COMPUTED_VALUE"""),44847.66666666667)</f>
        <v>44847.66667</v>
      </c>
      <c r="B706" s="11">
        <f>IFERROR(__xludf.DUMMYFUNCTION("""COMPUTED_VALUE"""),55.87)</f>
        <v>55.87</v>
      </c>
      <c r="C706" s="12">
        <f>IFERROR(__xludf.DUMMYFUNCTION("""COMPUTED_VALUE"""),44847.66666666667)</f>
        <v>44847.66667</v>
      </c>
      <c r="D706" s="11">
        <f>IFERROR(__xludf.DUMMYFUNCTION("""COMPUTED_VALUE"""),234.24)</f>
        <v>234.24</v>
      </c>
      <c r="E706" s="12">
        <f>IFERROR(__xludf.DUMMYFUNCTION("""COMPUTED_VALUE"""),44847.66666666667)</f>
        <v>44847.66667</v>
      </c>
      <c r="F706" s="11">
        <f>IFERROR(__xludf.DUMMYFUNCTION("""COMPUTED_VALUE"""),221.72)</f>
        <v>221.72</v>
      </c>
      <c r="G706" s="12">
        <f>IFERROR(__xludf.DUMMYFUNCTION("""COMPUTED_VALUE"""),44847.66666666667)</f>
        <v>44847.66667</v>
      </c>
      <c r="H706" s="11">
        <f>IFERROR(__xludf.DUMMYFUNCTION("""COMPUTED_VALUE"""),142.99)</f>
        <v>142.99</v>
      </c>
    </row>
    <row r="707" ht="15.75" customHeight="1">
      <c r="A707" s="12">
        <f>IFERROR(__xludf.DUMMYFUNCTION("""COMPUTED_VALUE"""),44848.66666666667)</f>
        <v>44848.66667</v>
      </c>
      <c r="B707" s="11">
        <f>IFERROR(__xludf.DUMMYFUNCTION("""COMPUTED_VALUE"""),54.98)</f>
        <v>54.98</v>
      </c>
      <c r="C707" s="12">
        <f>IFERROR(__xludf.DUMMYFUNCTION("""COMPUTED_VALUE"""),44848.66666666667)</f>
        <v>44848.66667</v>
      </c>
      <c r="D707" s="11">
        <f>IFERROR(__xludf.DUMMYFUNCTION("""COMPUTED_VALUE"""),228.56)</f>
        <v>228.56</v>
      </c>
      <c r="E707" s="12">
        <f>IFERROR(__xludf.DUMMYFUNCTION("""COMPUTED_VALUE"""),44848.66666666667)</f>
        <v>44848.66667</v>
      </c>
      <c r="F707" s="11">
        <f>IFERROR(__xludf.DUMMYFUNCTION("""COMPUTED_VALUE"""),204.99)</f>
        <v>204.99</v>
      </c>
      <c r="G707" s="12">
        <f>IFERROR(__xludf.DUMMYFUNCTION("""COMPUTED_VALUE"""),44848.66666666667)</f>
        <v>44848.66667</v>
      </c>
      <c r="H707" s="11">
        <f>IFERROR(__xludf.DUMMYFUNCTION("""COMPUTED_VALUE"""),138.38)</f>
        <v>138.38</v>
      </c>
    </row>
    <row r="708" ht="15.75" customHeight="1">
      <c r="A708" s="12">
        <f>IFERROR(__xludf.DUMMYFUNCTION("""COMPUTED_VALUE"""),44851.66666666667)</f>
        <v>44851.66667</v>
      </c>
      <c r="B708" s="11">
        <f>IFERROR(__xludf.DUMMYFUNCTION("""COMPUTED_VALUE"""),55.69)</f>
        <v>55.69</v>
      </c>
      <c r="C708" s="12">
        <f>IFERROR(__xludf.DUMMYFUNCTION("""COMPUTED_VALUE"""),44851.66666666667)</f>
        <v>44851.66667</v>
      </c>
      <c r="D708" s="11">
        <f>IFERROR(__xludf.DUMMYFUNCTION("""COMPUTED_VALUE"""),237.53)</f>
        <v>237.53</v>
      </c>
      <c r="E708" s="12">
        <f>IFERROR(__xludf.DUMMYFUNCTION("""COMPUTED_VALUE"""),44851.66666666667)</f>
        <v>44851.66667</v>
      </c>
      <c r="F708" s="11">
        <f>IFERROR(__xludf.DUMMYFUNCTION("""COMPUTED_VALUE"""),219.35)</f>
        <v>219.35</v>
      </c>
      <c r="G708" s="12">
        <f>IFERROR(__xludf.DUMMYFUNCTION("""COMPUTED_VALUE"""),44851.66666666667)</f>
        <v>44851.66667</v>
      </c>
      <c r="H708" s="11">
        <f>IFERROR(__xludf.DUMMYFUNCTION("""COMPUTED_VALUE"""),142.41)</f>
        <v>142.41</v>
      </c>
    </row>
    <row r="709" ht="15.75" customHeight="1">
      <c r="A709" s="12">
        <f>IFERROR(__xludf.DUMMYFUNCTION("""COMPUTED_VALUE"""),44852.66666666667)</f>
        <v>44852.66667</v>
      </c>
      <c r="B709" s="11">
        <f>IFERROR(__xludf.DUMMYFUNCTION("""COMPUTED_VALUE"""),56.44)</f>
        <v>56.44</v>
      </c>
      <c r="C709" s="12">
        <f>IFERROR(__xludf.DUMMYFUNCTION("""COMPUTED_VALUE"""),44852.66666666667)</f>
        <v>44852.66667</v>
      </c>
      <c r="D709" s="11">
        <f>IFERROR(__xludf.DUMMYFUNCTION("""COMPUTED_VALUE"""),238.5)</f>
        <v>238.5</v>
      </c>
      <c r="E709" s="12">
        <f>IFERROR(__xludf.DUMMYFUNCTION("""COMPUTED_VALUE"""),44852.66666666667)</f>
        <v>44852.66667</v>
      </c>
      <c r="F709" s="11">
        <f>IFERROR(__xludf.DUMMYFUNCTION("""COMPUTED_VALUE"""),220.19)</f>
        <v>220.19</v>
      </c>
      <c r="G709" s="12">
        <f>IFERROR(__xludf.DUMMYFUNCTION("""COMPUTED_VALUE"""),44852.66666666667)</f>
        <v>44852.66667</v>
      </c>
      <c r="H709" s="11">
        <f>IFERROR(__xludf.DUMMYFUNCTION("""COMPUTED_VALUE"""),143.75)</f>
        <v>143.75</v>
      </c>
    </row>
    <row r="710" ht="15.75" customHeight="1">
      <c r="A710" s="12">
        <f>IFERROR(__xludf.DUMMYFUNCTION("""COMPUTED_VALUE"""),44853.66666666667)</f>
        <v>44853.66667</v>
      </c>
      <c r="B710" s="11">
        <f>IFERROR(__xludf.DUMMYFUNCTION("""COMPUTED_VALUE"""),55.96)</f>
        <v>55.96</v>
      </c>
      <c r="C710" s="12">
        <f>IFERROR(__xludf.DUMMYFUNCTION("""COMPUTED_VALUE"""),44853.66666666667)</f>
        <v>44853.66667</v>
      </c>
      <c r="D710" s="11">
        <f>IFERROR(__xludf.DUMMYFUNCTION("""COMPUTED_VALUE"""),236.48)</f>
        <v>236.48</v>
      </c>
      <c r="E710" s="12">
        <f>IFERROR(__xludf.DUMMYFUNCTION("""COMPUTED_VALUE"""),44853.66666666667)</f>
        <v>44853.66667</v>
      </c>
      <c r="F710" s="11">
        <f>IFERROR(__xludf.DUMMYFUNCTION("""COMPUTED_VALUE"""),222.04)</f>
        <v>222.04</v>
      </c>
      <c r="G710" s="12">
        <f>IFERROR(__xludf.DUMMYFUNCTION("""COMPUTED_VALUE"""),44853.66666666667)</f>
        <v>44853.66667</v>
      </c>
      <c r="H710" s="11">
        <f>IFERROR(__xludf.DUMMYFUNCTION("""COMPUTED_VALUE"""),143.86)</f>
        <v>143.86</v>
      </c>
    </row>
    <row r="711" ht="15.75" customHeight="1">
      <c r="A711" s="12">
        <f>IFERROR(__xludf.DUMMYFUNCTION("""COMPUTED_VALUE"""),44854.66666666667)</f>
        <v>44854.66667</v>
      </c>
      <c r="B711" s="11">
        <f>IFERROR(__xludf.DUMMYFUNCTION("""COMPUTED_VALUE"""),55.08)</f>
        <v>55.08</v>
      </c>
      <c r="C711" s="12">
        <f>IFERROR(__xludf.DUMMYFUNCTION("""COMPUTED_VALUE"""),44854.66666666667)</f>
        <v>44854.66667</v>
      </c>
      <c r="D711" s="11">
        <f>IFERROR(__xludf.DUMMYFUNCTION("""COMPUTED_VALUE"""),236.15)</f>
        <v>236.15</v>
      </c>
      <c r="E711" s="12">
        <f>IFERROR(__xludf.DUMMYFUNCTION("""COMPUTED_VALUE"""),44854.66666666667)</f>
        <v>44854.66667</v>
      </c>
      <c r="F711" s="11">
        <f>IFERROR(__xludf.DUMMYFUNCTION("""COMPUTED_VALUE"""),207.28)</f>
        <v>207.28</v>
      </c>
      <c r="G711" s="12">
        <f>IFERROR(__xludf.DUMMYFUNCTION("""COMPUTED_VALUE"""),44854.66666666667)</f>
        <v>44854.66667</v>
      </c>
      <c r="H711" s="11">
        <f>IFERROR(__xludf.DUMMYFUNCTION("""COMPUTED_VALUE"""),143.39)</f>
        <v>143.39</v>
      </c>
    </row>
    <row r="712" ht="15.75" customHeight="1">
      <c r="A712" s="12">
        <f>IFERROR(__xludf.DUMMYFUNCTION("""COMPUTED_VALUE"""),44855.66666666667)</f>
        <v>44855.66667</v>
      </c>
      <c r="B712" s="11">
        <f>IFERROR(__xludf.DUMMYFUNCTION("""COMPUTED_VALUE"""),55.96)</f>
        <v>55.96</v>
      </c>
      <c r="C712" s="12">
        <f>IFERROR(__xludf.DUMMYFUNCTION("""COMPUTED_VALUE"""),44855.66666666667)</f>
        <v>44855.66667</v>
      </c>
      <c r="D712" s="11">
        <f>IFERROR(__xludf.DUMMYFUNCTION("""COMPUTED_VALUE"""),242.12)</f>
        <v>242.12</v>
      </c>
      <c r="E712" s="12">
        <f>IFERROR(__xludf.DUMMYFUNCTION("""COMPUTED_VALUE"""),44855.66666666667)</f>
        <v>44855.66667</v>
      </c>
      <c r="F712" s="11">
        <f>IFERROR(__xludf.DUMMYFUNCTION("""COMPUTED_VALUE"""),214.44)</f>
        <v>214.44</v>
      </c>
      <c r="G712" s="12">
        <f>IFERROR(__xludf.DUMMYFUNCTION("""COMPUTED_VALUE"""),44855.66666666667)</f>
        <v>44855.66667</v>
      </c>
      <c r="H712" s="11">
        <f>IFERROR(__xludf.DUMMYFUNCTION("""COMPUTED_VALUE"""),147.27)</f>
        <v>147.27</v>
      </c>
    </row>
    <row r="713" ht="15.75" customHeight="1">
      <c r="A713" s="12">
        <f>IFERROR(__xludf.DUMMYFUNCTION("""COMPUTED_VALUE"""),44858.66666666667)</f>
        <v>44858.66667</v>
      </c>
      <c r="B713" s="11">
        <f>IFERROR(__xludf.DUMMYFUNCTION("""COMPUTED_VALUE"""),57.57)</f>
        <v>57.57</v>
      </c>
      <c r="C713" s="12">
        <f>IFERROR(__xludf.DUMMYFUNCTION("""COMPUTED_VALUE"""),44858.66666666667)</f>
        <v>44858.66667</v>
      </c>
      <c r="D713" s="11">
        <f>IFERROR(__xludf.DUMMYFUNCTION("""COMPUTED_VALUE"""),247.25)</f>
        <v>247.25</v>
      </c>
      <c r="E713" s="12">
        <f>IFERROR(__xludf.DUMMYFUNCTION("""COMPUTED_VALUE"""),44858.66666666667)</f>
        <v>44858.66667</v>
      </c>
      <c r="F713" s="11">
        <f>IFERROR(__xludf.DUMMYFUNCTION("""COMPUTED_VALUE"""),211.25)</f>
        <v>211.25</v>
      </c>
      <c r="G713" s="12">
        <f>IFERROR(__xludf.DUMMYFUNCTION("""COMPUTED_VALUE"""),44858.66666666667)</f>
        <v>44858.66667</v>
      </c>
      <c r="H713" s="11">
        <f>IFERROR(__xludf.DUMMYFUNCTION("""COMPUTED_VALUE"""),149.45)</f>
        <v>149.45</v>
      </c>
    </row>
    <row r="714" ht="15.75" customHeight="1">
      <c r="A714" s="12">
        <f>IFERROR(__xludf.DUMMYFUNCTION("""COMPUTED_VALUE"""),44859.66666666667)</f>
        <v>44859.66667</v>
      </c>
      <c r="B714" s="11">
        <f>IFERROR(__xludf.DUMMYFUNCTION("""COMPUTED_VALUE"""),58.95)</f>
        <v>58.95</v>
      </c>
      <c r="C714" s="12">
        <f>IFERROR(__xludf.DUMMYFUNCTION("""COMPUTED_VALUE"""),44859.66666666667)</f>
        <v>44859.66667</v>
      </c>
      <c r="D714" s="11">
        <f>IFERROR(__xludf.DUMMYFUNCTION("""COMPUTED_VALUE"""),250.66)</f>
        <v>250.66</v>
      </c>
      <c r="E714" s="12">
        <f>IFERROR(__xludf.DUMMYFUNCTION("""COMPUTED_VALUE"""),44859.66666666667)</f>
        <v>44859.66667</v>
      </c>
      <c r="F714" s="11">
        <f>IFERROR(__xludf.DUMMYFUNCTION("""COMPUTED_VALUE"""),222.42)</f>
        <v>222.42</v>
      </c>
      <c r="G714" s="12">
        <f>IFERROR(__xludf.DUMMYFUNCTION("""COMPUTED_VALUE"""),44859.66666666667)</f>
        <v>44859.66667</v>
      </c>
      <c r="H714" s="11">
        <f>IFERROR(__xludf.DUMMYFUNCTION("""COMPUTED_VALUE"""),152.34)</f>
        <v>152.34</v>
      </c>
    </row>
    <row r="715" ht="15.75" customHeight="1">
      <c r="A715" s="12">
        <f>IFERROR(__xludf.DUMMYFUNCTION("""COMPUTED_VALUE"""),44860.66666666667)</f>
        <v>44860.66667</v>
      </c>
      <c r="B715" s="11">
        <f>IFERROR(__xludf.DUMMYFUNCTION("""COMPUTED_VALUE"""),59.39)</f>
        <v>59.39</v>
      </c>
      <c r="C715" s="12">
        <f>IFERROR(__xludf.DUMMYFUNCTION("""COMPUTED_VALUE"""),44860.66666666667)</f>
        <v>44860.66667</v>
      </c>
      <c r="D715" s="11">
        <f>IFERROR(__xludf.DUMMYFUNCTION("""COMPUTED_VALUE"""),231.32)</f>
        <v>231.32</v>
      </c>
      <c r="E715" s="12">
        <f>IFERROR(__xludf.DUMMYFUNCTION("""COMPUTED_VALUE"""),44860.66666666667)</f>
        <v>44860.66667</v>
      </c>
      <c r="F715" s="11">
        <f>IFERROR(__xludf.DUMMYFUNCTION("""COMPUTED_VALUE"""),224.64)</f>
        <v>224.64</v>
      </c>
      <c r="G715" s="12">
        <f>IFERROR(__xludf.DUMMYFUNCTION("""COMPUTED_VALUE"""),44860.66666666667)</f>
        <v>44860.66667</v>
      </c>
      <c r="H715" s="11">
        <f>IFERROR(__xludf.DUMMYFUNCTION("""COMPUTED_VALUE"""),149.35)</f>
        <v>149.35</v>
      </c>
    </row>
    <row r="716" ht="15.75" customHeight="1">
      <c r="A716" s="12">
        <f>IFERROR(__xludf.DUMMYFUNCTION("""COMPUTED_VALUE"""),44861.66666666667)</f>
        <v>44861.66667</v>
      </c>
      <c r="B716" s="11">
        <f>IFERROR(__xludf.DUMMYFUNCTION("""COMPUTED_VALUE"""),59.53)</f>
        <v>59.53</v>
      </c>
      <c r="C716" s="12">
        <f>IFERROR(__xludf.DUMMYFUNCTION("""COMPUTED_VALUE"""),44861.66666666667)</f>
        <v>44861.66667</v>
      </c>
      <c r="D716" s="11">
        <f>IFERROR(__xludf.DUMMYFUNCTION("""COMPUTED_VALUE"""),226.75)</f>
        <v>226.75</v>
      </c>
      <c r="E716" s="12">
        <f>IFERROR(__xludf.DUMMYFUNCTION("""COMPUTED_VALUE"""),44861.66666666667)</f>
        <v>44861.66667</v>
      </c>
      <c r="F716" s="11">
        <f>IFERROR(__xludf.DUMMYFUNCTION("""COMPUTED_VALUE"""),225.09)</f>
        <v>225.09</v>
      </c>
      <c r="G716" s="12">
        <f>IFERROR(__xludf.DUMMYFUNCTION("""COMPUTED_VALUE"""),44861.66666666667)</f>
        <v>44861.66667</v>
      </c>
      <c r="H716" s="11">
        <f>IFERROR(__xludf.DUMMYFUNCTION("""COMPUTED_VALUE"""),144.8)</f>
        <v>144.8</v>
      </c>
    </row>
    <row r="717" ht="15.75" customHeight="1">
      <c r="A717" s="12">
        <f>IFERROR(__xludf.DUMMYFUNCTION("""COMPUTED_VALUE"""),44862.66666666667)</f>
        <v>44862.66667</v>
      </c>
      <c r="B717" s="11">
        <f>IFERROR(__xludf.DUMMYFUNCTION("""COMPUTED_VALUE"""),60.76)</f>
        <v>60.76</v>
      </c>
      <c r="C717" s="12">
        <f>IFERROR(__xludf.DUMMYFUNCTION("""COMPUTED_VALUE"""),44862.66666666667)</f>
        <v>44862.66667</v>
      </c>
      <c r="D717" s="11">
        <f>IFERROR(__xludf.DUMMYFUNCTION("""COMPUTED_VALUE"""),235.87)</f>
        <v>235.87</v>
      </c>
      <c r="E717" s="12">
        <f>IFERROR(__xludf.DUMMYFUNCTION("""COMPUTED_VALUE"""),44862.66666666667)</f>
        <v>44862.66667</v>
      </c>
      <c r="F717" s="11">
        <f>IFERROR(__xludf.DUMMYFUNCTION("""COMPUTED_VALUE"""),228.52)</f>
        <v>228.52</v>
      </c>
      <c r="G717" s="12">
        <f>IFERROR(__xludf.DUMMYFUNCTION("""COMPUTED_VALUE"""),44862.66666666667)</f>
        <v>44862.66667</v>
      </c>
      <c r="H717" s="11">
        <f>IFERROR(__xludf.DUMMYFUNCTION("""COMPUTED_VALUE"""),155.74)</f>
        <v>155.74</v>
      </c>
    </row>
    <row r="718" ht="15.75" customHeight="1">
      <c r="A718" s="12">
        <f>IFERROR(__xludf.DUMMYFUNCTION("""COMPUTED_VALUE"""),44865.66666666667)</f>
        <v>44865.66667</v>
      </c>
      <c r="B718" s="11">
        <f>IFERROR(__xludf.DUMMYFUNCTION("""COMPUTED_VALUE"""),59.85)</f>
        <v>59.85</v>
      </c>
      <c r="C718" s="12">
        <f>IFERROR(__xludf.DUMMYFUNCTION("""COMPUTED_VALUE"""),44865.66666666667)</f>
        <v>44865.66667</v>
      </c>
      <c r="D718" s="11">
        <f>IFERROR(__xludf.DUMMYFUNCTION("""COMPUTED_VALUE"""),232.13)</f>
        <v>232.13</v>
      </c>
      <c r="E718" s="12">
        <f>IFERROR(__xludf.DUMMYFUNCTION("""COMPUTED_VALUE"""),44865.66666666667)</f>
        <v>44865.66667</v>
      </c>
      <c r="F718" s="11">
        <f>IFERROR(__xludf.DUMMYFUNCTION("""COMPUTED_VALUE"""),227.54)</f>
        <v>227.54</v>
      </c>
      <c r="G718" s="12">
        <f>IFERROR(__xludf.DUMMYFUNCTION("""COMPUTED_VALUE"""),44865.66666666667)</f>
        <v>44865.66667</v>
      </c>
      <c r="H718" s="11">
        <f>IFERROR(__xludf.DUMMYFUNCTION("""COMPUTED_VALUE"""),153.34)</f>
        <v>153.34</v>
      </c>
    </row>
    <row r="719" ht="15.75" customHeight="1">
      <c r="A719" s="12">
        <f>IFERROR(__xludf.DUMMYFUNCTION("""COMPUTED_VALUE"""),44866.66666666667)</f>
        <v>44866.66667</v>
      </c>
      <c r="B719" s="11">
        <f>IFERROR(__xludf.DUMMYFUNCTION("""COMPUTED_VALUE"""),59.64)</f>
        <v>59.64</v>
      </c>
      <c r="C719" s="12">
        <f>IFERROR(__xludf.DUMMYFUNCTION("""COMPUTED_VALUE"""),44866.66666666667)</f>
        <v>44866.66667</v>
      </c>
      <c r="D719" s="11">
        <f>IFERROR(__xludf.DUMMYFUNCTION("""COMPUTED_VALUE"""),228.17)</f>
        <v>228.17</v>
      </c>
      <c r="E719" s="12">
        <f>IFERROR(__xludf.DUMMYFUNCTION("""COMPUTED_VALUE"""),44866.66666666667)</f>
        <v>44866.66667</v>
      </c>
      <c r="F719" s="11">
        <f>IFERROR(__xludf.DUMMYFUNCTION("""COMPUTED_VALUE"""),227.82)</f>
        <v>227.82</v>
      </c>
      <c r="G719" s="12">
        <f>IFERROR(__xludf.DUMMYFUNCTION("""COMPUTED_VALUE"""),44866.66666666667)</f>
        <v>44866.66667</v>
      </c>
      <c r="H719" s="11">
        <f>IFERROR(__xludf.DUMMYFUNCTION("""COMPUTED_VALUE"""),150.65)</f>
        <v>150.65</v>
      </c>
    </row>
    <row r="720" ht="15.75" customHeight="1">
      <c r="A720" s="12">
        <f>IFERROR(__xludf.DUMMYFUNCTION("""COMPUTED_VALUE"""),44867.66666666667)</f>
        <v>44867.66667</v>
      </c>
      <c r="B720" s="11">
        <f>IFERROR(__xludf.DUMMYFUNCTION("""COMPUTED_VALUE"""),58.81)</f>
        <v>58.81</v>
      </c>
      <c r="C720" s="12">
        <f>IFERROR(__xludf.DUMMYFUNCTION("""COMPUTED_VALUE"""),44867.66666666667)</f>
        <v>44867.66667</v>
      </c>
      <c r="D720" s="11">
        <f>IFERROR(__xludf.DUMMYFUNCTION("""COMPUTED_VALUE"""),220.1)</f>
        <v>220.1</v>
      </c>
      <c r="E720" s="12">
        <f>IFERROR(__xludf.DUMMYFUNCTION("""COMPUTED_VALUE"""),44867.66666666667)</f>
        <v>44867.66667</v>
      </c>
      <c r="F720" s="11">
        <f>IFERROR(__xludf.DUMMYFUNCTION("""COMPUTED_VALUE"""),214.98)</f>
        <v>214.98</v>
      </c>
      <c r="G720" s="12">
        <f>IFERROR(__xludf.DUMMYFUNCTION("""COMPUTED_VALUE"""),44867.66666666667)</f>
        <v>44867.66667</v>
      </c>
      <c r="H720" s="11">
        <f>IFERROR(__xludf.DUMMYFUNCTION("""COMPUTED_VALUE"""),145.03)</f>
        <v>145.03</v>
      </c>
    </row>
    <row r="721" ht="15.75" customHeight="1">
      <c r="A721" s="12">
        <f>IFERROR(__xludf.DUMMYFUNCTION("""COMPUTED_VALUE"""),44868.66666666667)</f>
        <v>44868.66667</v>
      </c>
      <c r="B721" s="11">
        <f>IFERROR(__xludf.DUMMYFUNCTION("""COMPUTED_VALUE"""),58.78)</f>
        <v>58.78</v>
      </c>
      <c r="C721" s="12">
        <f>IFERROR(__xludf.DUMMYFUNCTION("""COMPUTED_VALUE"""),44868.66666666667)</f>
        <v>44868.66667</v>
      </c>
      <c r="D721" s="11">
        <f>IFERROR(__xludf.DUMMYFUNCTION("""COMPUTED_VALUE"""),214.25)</f>
        <v>214.25</v>
      </c>
      <c r="E721" s="12">
        <f>IFERROR(__xludf.DUMMYFUNCTION("""COMPUTED_VALUE"""),44868.66666666667)</f>
        <v>44868.66667</v>
      </c>
      <c r="F721" s="11">
        <f>IFERROR(__xludf.DUMMYFUNCTION("""COMPUTED_VALUE"""),215.31)</f>
        <v>215.31</v>
      </c>
      <c r="G721" s="12">
        <f>IFERROR(__xludf.DUMMYFUNCTION("""COMPUTED_VALUE"""),44868.66666666667)</f>
        <v>44868.66667</v>
      </c>
      <c r="H721" s="11">
        <f>IFERROR(__xludf.DUMMYFUNCTION("""COMPUTED_VALUE"""),138.88)</f>
        <v>138.88</v>
      </c>
    </row>
    <row r="722" ht="15.75" customHeight="1">
      <c r="A722" s="12">
        <f>IFERROR(__xludf.DUMMYFUNCTION("""COMPUTED_VALUE"""),44869.66666666667)</f>
        <v>44869.66667</v>
      </c>
      <c r="B722" s="11">
        <f>IFERROR(__xludf.DUMMYFUNCTION("""COMPUTED_VALUE"""),59.26)</f>
        <v>59.26</v>
      </c>
      <c r="C722" s="12">
        <f>IFERROR(__xludf.DUMMYFUNCTION("""COMPUTED_VALUE"""),44869.66666666667)</f>
        <v>44869.66667</v>
      </c>
      <c r="D722" s="11">
        <f>IFERROR(__xludf.DUMMYFUNCTION("""COMPUTED_VALUE"""),221.39)</f>
        <v>221.39</v>
      </c>
      <c r="E722" s="12">
        <f>IFERROR(__xludf.DUMMYFUNCTION("""COMPUTED_VALUE"""),44869.66666666667)</f>
        <v>44869.66667</v>
      </c>
      <c r="F722" s="11">
        <f>IFERROR(__xludf.DUMMYFUNCTION("""COMPUTED_VALUE"""),207.47)</f>
        <v>207.47</v>
      </c>
      <c r="G722" s="12">
        <f>IFERROR(__xludf.DUMMYFUNCTION("""COMPUTED_VALUE"""),44869.66666666667)</f>
        <v>44869.66667</v>
      </c>
      <c r="H722" s="11">
        <f>IFERROR(__xludf.DUMMYFUNCTION("""COMPUTED_VALUE"""),138.38)</f>
        <v>138.38</v>
      </c>
    </row>
    <row r="723" ht="15.75" customHeight="1">
      <c r="A723" s="12">
        <f>IFERROR(__xludf.DUMMYFUNCTION("""COMPUTED_VALUE"""),44872.66666666667)</f>
        <v>44872.66667</v>
      </c>
      <c r="B723" s="11">
        <f>IFERROR(__xludf.DUMMYFUNCTION("""COMPUTED_VALUE"""),59.49)</f>
        <v>59.49</v>
      </c>
      <c r="C723" s="12">
        <f>IFERROR(__xludf.DUMMYFUNCTION("""COMPUTED_VALUE"""),44872.66666666667)</f>
        <v>44872.66667</v>
      </c>
      <c r="D723" s="11">
        <f>IFERROR(__xludf.DUMMYFUNCTION("""COMPUTED_VALUE"""),227.87)</f>
        <v>227.87</v>
      </c>
      <c r="E723" s="12">
        <f>IFERROR(__xludf.DUMMYFUNCTION("""COMPUTED_VALUE"""),44872.66666666667)</f>
        <v>44872.66667</v>
      </c>
      <c r="F723" s="11">
        <f>IFERROR(__xludf.DUMMYFUNCTION("""COMPUTED_VALUE"""),197.08)</f>
        <v>197.08</v>
      </c>
      <c r="G723" s="12">
        <f>IFERROR(__xludf.DUMMYFUNCTION("""COMPUTED_VALUE"""),44872.66666666667)</f>
        <v>44872.66667</v>
      </c>
      <c r="H723" s="11">
        <f>IFERROR(__xludf.DUMMYFUNCTION("""COMPUTED_VALUE"""),138.92)</f>
        <v>138.92</v>
      </c>
    </row>
    <row r="724" ht="15.75" customHeight="1">
      <c r="A724" s="12">
        <f>IFERROR(__xludf.DUMMYFUNCTION("""COMPUTED_VALUE"""),44873.66666666667)</f>
        <v>44873.66667</v>
      </c>
      <c r="B724" s="11">
        <f>IFERROR(__xludf.DUMMYFUNCTION("""COMPUTED_VALUE"""),59.6)</f>
        <v>59.6</v>
      </c>
      <c r="C724" s="12">
        <f>IFERROR(__xludf.DUMMYFUNCTION("""COMPUTED_VALUE"""),44873.66666666667)</f>
        <v>44873.66667</v>
      </c>
      <c r="D724" s="11">
        <f>IFERROR(__xludf.DUMMYFUNCTION("""COMPUTED_VALUE"""),228.87)</f>
        <v>228.87</v>
      </c>
      <c r="E724" s="12">
        <f>IFERROR(__xludf.DUMMYFUNCTION("""COMPUTED_VALUE"""),44873.66666666667)</f>
        <v>44873.66667</v>
      </c>
      <c r="F724" s="11">
        <f>IFERROR(__xludf.DUMMYFUNCTION("""COMPUTED_VALUE"""),191.3)</f>
        <v>191.3</v>
      </c>
      <c r="G724" s="12">
        <f>IFERROR(__xludf.DUMMYFUNCTION("""COMPUTED_VALUE"""),44873.66666666667)</f>
        <v>44873.66667</v>
      </c>
      <c r="H724" s="11">
        <f>IFERROR(__xludf.DUMMYFUNCTION("""COMPUTED_VALUE"""),139.5)</f>
        <v>139.5</v>
      </c>
    </row>
    <row r="725" ht="15.75" customHeight="1">
      <c r="A725" s="12">
        <f>IFERROR(__xludf.DUMMYFUNCTION("""COMPUTED_VALUE"""),44874.66666666667)</f>
        <v>44874.66667</v>
      </c>
      <c r="B725" s="11">
        <f>IFERROR(__xludf.DUMMYFUNCTION("""COMPUTED_VALUE"""),58.77)</f>
        <v>58.77</v>
      </c>
      <c r="C725" s="12">
        <f>IFERROR(__xludf.DUMMYFUNCTION("""COMPUTED_VALUE"""),44874.66666666667)</f>
        <v>44874.66667</v>
      </c>
      <c r="D725" s="11">
        <f>IFERROR(__xludf.DUMMYFUNCTION("""COMPUTED_VALUE"""),224.51)</f>
        <v>224.51</v>
      </c>
      <c r="E725" s="12">
        <f>IFERROR(__xludf.DUMMYFUNCTION("""COMPUTED_VALUE"""),44874.66666666667)</f>
        <v>44874.66667</v>
      </c>
      <c r="F725" s="11">
        <f>IFERROR(__xludf.DUMMYFUNCTION("""COMPUTED_VALUE"""),177.59)</f>
        <v>177.59</v>
      </c>
      <c r="G725" s="12">
        <f>IFERROR(__xludf.DUMMYFUNCTION("""COMPUTED_VALUE"""),44874.66666666667)</f>
        <v>44874.66667</v>
      </c>
      <c r="H725" s="11">
        <f>IFERROR(__xludf.DUMMYFUNCTION("""COMPUTED_VALUE"""),134.87)</f>
        <v>134.87</v>
      </c>
    </row>
    <row r="726" ht="15.75" customHeight="1">
      <c r="A726" s="12">
        <f>IFERROR(__xludf.DUMMYFUNCTION("""COMPUTED_VALUE"""),44875.66666666667)</f>
        <v>44875.66667</v>
      </c>
      <c r="B726" s="11">
        <f>IFERROR(__xludf.DUMMYFUNCTION("""COMPUTED_VALUE"""),60.88)</f>
        <v>60.88</v>
      </c>
      <c r="C726" s="12">
        <f>IFERROR(__xludf.DUMMYFUNCTION("""COMPUTED_VALUE"""),44875.66666666667)</f>
        <v>44875.66667</v>
      </c>
      <c r="D726" s="11">
        <f>IFERROR(__xludf.DUMMYFUNCTION("""COMPUTED_VALUE"""),242.98)</f>
        <v>242.98</v>
      </c>
      <c r="E726" s="12">
        <f>IFERROR(__xludf.DUMMYFUNCTION("""COMPUTED_VALUE"""),44875.66666666667)</f>
        <v>44875.66667</v>
      </c>
      <c r="F726" s="11">
        <f>IFERROR(__xludf.DUMMYFUNCTION("""COMPUTED_VALUE"""),190.72)</f>
        <v>190.72</v>
      </c>
      <c r="G726" s="12">
        <f>IFERROR(__xludf.DUMMYFUNCTION("""COMPUTED_VALUE"""),44875.66666666667)</f>
        <v>44875.66667</v>
      </c>
      <c r="H726" s="11">
        <f>IFERROR(__xludf.DUMMYFUNCTION("""COMPUTED_VALUE"""),146.87)</f>
        <v>146.87</v>
      </c>
    </row>
    <row r="727" ht="15.75" customHeight="1">
      <c r="A727" s="12">
        <f>IFERROR(__xludf.DUMMYFUNCTION("""COMPUTED_VALUE"""),44876.66666666667)</f>
        <v>44876.66667</v>
      </c>
      <c r="B727" s="11">
        <f>IFERROR(__xludf.DUMMYFUNCTION("""COMPUTED_VALUE"""),61.32)</f>
        <v>61.32</v>
      </c>
      <c r="C727" s="12">
        <f>IFERROR(__xludf.DUMMYFUNCTION("""COMPUTED_VALUE"""),44876.66666666667)</f>
        <v>44876.66667</v>
      </c>
      <c r="D727" s="11">
        <f>IFERROR(__xludf.DUMMYFUNCTION("""COMPUTED_VALUE"""),247.11)</f>
        <v>247.11</v>
      </c>
      <c r="E727" s="12">
        <f>IFERROR(__xludf.DUMMYFUNCTION("""COMPUTED_VALUE"""),44876.66666666667)</f>
        <v>44876.66667</v>
      </c>
      <c r="F727" s="11">
        <f>IFERROR(__xludf.DUMMYFUNCTION("""COMPUTED_VALUE"""),195.97)</f>
        <v>195.97</v>
      </c>
      <c r="G727" s="12">
        <f>IFERROR(__xludf.DUMMYFUNCTION("""COMPUTED_VALUE"""),44876.66666666667)</f>
        <v>44876.66667</v>
      </c>
      <c r="H727" s="11">
        <f>IFERROR(__xludf.DUMMYFUNCTION("""COMPUTED_VALUE"""),149.7)</f>
        <v>149.7</v>
      </c>
    </row>
    <row r="728" ht="15.75" customHeight="1">
      <c r="A728" s="12">
        <f>IFERROR(__xludf.DUMMYFUNCTION("""COMPUTED_VALUE"""),44879.66666666667)</f>
        <v>44879.66667</v>
      </c>
      <c r="B728" s="11">
        <f>IFERROR(__xludf.DUMMYFUNCTION("""COMPUTED_VALUE"""),60.73)</f>
        <v>60.73</v>
      </c>
      <c r="C728" s="12">
        <f>IFERROR(__xludf.DUMMYFUNCTION("""COMPUTED_VALUE"""),44879.66666666667)</f>
        <v>44879.66667</v>
      </c>
      <c r="D728" s="11">
        <f>IFERROR(__xludf.DUMMYFUNCTION("""COMPUTED_VALUE"""),241.55)</f>
        <v>241.55</v>
      </c>
      <c r="E728" s="12">
        <f>IFERROR(__xludf.DUMMYFUNCTION("""COMPUTED_VALUE"""),44879.66666666667)</f>
        <v>44879.66667</v>
      </c>
      <c r="F728" s="11">
        <f>IFERROR(__xludf.DUMMYFUNCTION("""COMPUTED_VALUE"""),190.95)</f>
        <v>190.95</v>
      </c>
      <c r="G728" s="12">
        <f>IFERROR(__xludf.DUMMYFUNCTION("""COMPUTED_VALUE"""),44879.66666666667)</f>
        <v>44879.66667</v>
      </c>
      <c r="H728" s="11">
        <f>IFERROR(__xludf.DUMMYFUNCTION("""COMPUTED_VALUE"""),148.28)</f>
        <v>148.28</v>
      </c>
    </row>
    <row r="729" ht="15.75" customHeight="1">
      <c r="A729" s="12">
        <f>IFERROR(__xludf.DUMMYFUNCTION("""COMPUTED_VALUE"""),44880.66666666667)</f>
        <v>44880.66667</v>
      </c>
      <c r="B729" s="11">
        <f>IFERROR(__xludf.DUMMYFUNCTION("""COMPUTED_VALUE"""),60.63)</f>
        <v>60.63</v>
      </c>
      <c r="C729" s="12">
        <f>IFERROR(__xludf.DUMMYFUNCTION("""COMPUTED_VALUE"""),44880.66666666667)</f>
        <v>44880.66667</v>
      </c>
      <c r="D729" s="11">
        <f>IFERROR(__xludf.DUMMYFUNCTION("""COMPUTED_VALUE"""),241.97)</f>
        <v>241.97</v>
      </c>
      <c r="E729" s="12">
        <f>IFERROR(__xludf.DUMMYFUNCTION("""COMPUTED_VALUE"""),44880.66666666667)</f>
        <v>44880.66667</v>
      </c>
      <c r="F729" s="11">
        <f>IFERROR(__xludf.DUMMYFUNCTION("""COMPUTED_VALUE"""),194.42)</f>
        <v>194.42</v>
      </c>
      <c r="G729" s="12">
        <f>IFERROR(__xludf.DUMMYFUNCTION("""COMPUTED_VALUE"""),44880.66666666667)</f>
        <v>44880.66667</v>
      </c>
      <c r="H729" s="11">
        <f>IFERROR(__xludf.DUMMYFUNCTION("""COMPUTED_VALUE"""),150.04)</f>
        <v>150.04</v>
      </c>
    </row>
    <row r="730" ht="15.75" customHeight="1">
      <c r="A730" s="12">
        <f>IFERROR(__xludf.DUMMYFUNCTION("""COMPUTED_VALUE"""),44881.66666666667)</f>
        <v>44881.66667</v>
      </c>
      <c r="B730" s="11">
        <f>IFERROR(__xludf.DUMMYFUNCTION("""COMPUTED_VALUE"""),60.52)</f>
        <v>60.52</v>
      </c>
      <c r="C730" s="12">
        <f>IFERROR(__xludf.DUMMYFUNCTION("""COMPUTED_VALUE"""),44881.66666666667)</f>
        <v>44881.66667</v>
      </c>
      <c r="D730" s="11">
        <f>IFERROR(__xludf.DUMMYFUNCTION("""COMPUTED_VALUE"""),241.73)</f>
        <v>241.73</v>
      </c>
      <c r="E730" s="12">
        <f>IFERROR(__xludf.DUMMYFUNCTION("""COMPUTED_VALUE"""),44881.66666666667)</f>
        <v>44881.66667</v>
      </c>
      <c r="F730" s="11">
        <f>IFERROR(__xludf.DUMMYFUNCTION("""COMPUTED_VALUE"""),186.92)</f>
        <v>186.92</v>
      </c>
      <c r="G730" s="12">
        <f>IFERROR(__xludf.DUMMYFUNCTION("""COMPUTED_VALUE"""),44881.66666666667)</f>
        <v>44881.66667</v>
      </c>
      <c r="H730" s="11">
        <f>IFERROR(__xludf.DUMMYFUNCTION("""COMPUTED_VALUE"""),148.79)</f>
        <v>148.79</v>
      </c>
    </row>
    <row r="731" ht="15.75" customHeight="1">
      <c r="A731" s="12">
        <f>IFERROR(__xludf.DUMMYFUNCTION("""COMPUTED_VALUE"""),44882.66666666667)</f>
        <v>44882.66667</v>
      </c>
      <c r="B731" s="11">
        <f>IFERROR(__xludf.DUMMYFUNCTION("""COMPUTED_VALUE"""),60.71)</f>
        <v>60.71</v>
      </c>
      <c r="C731" s="12">
        <f>IFERROR(__xludf.DUMMYFUNCTION("""COMPUTED_VALUE"""),44882.66666666667)</f>
        <v>44882.66667</v>
      </c>
      <c r="D731" s="11">
        <f>IFERROR(__xludf.DUMMYFUNCTION("""COMPUTED_VALUE"""),241.68)</f>
        <v>241.68</v>
      </c>
      <c r="E731" s="12">
        <f>IFERROR(__xludf.DUMMYFUNCTION("""COMPUTED_VALUE"""),44882.66666666667)</f>
        <v>44882.66667</v>
      </c>
      <c r="F731" s="11">
        <f>IFERROR(__xludf.DUMMYFUNCTION("""COMPUTED_VALUE"""),183.17)</f>
        <v>183.17</v>
      </c>
      <c r="G731" s="12">
        <f>IFERROR(__xludf.DUMMYFUNCTION("""COMPUTED_VALUE"""),44882.66666666667)</f>
        <v>44882.66667</v>
      </c>
      <c r="H731" s="11">
        <f>IFERROR(__xludf.DUMMYFUNCTION("""COMPUTED_VALUE"""),150.72)</f>
        <v>150.72</v>
      </c>
    </row>
    <row r="732" ht="15.75" customHeight="1">
      <c r="A732" s="12">
        <f>IFERROR(__xludf.DUMMYFUNCTION("""COMPUTED_VALUE"""),44883.66666666667)</f>
        <v>44883.66667</v>
      </c>
      <c r="B732" s="11">
        <f>IFERROR(__xludf.DUMMYFUNCTION("""COMPUTED_VALUE"""),61.14)</f>
        <v>61.14</v>
      </c>
      <c r="C732" s="12">
        <f>IFERROR(__xludf.DUMMYFUNCTION("""COMPUTED_VALUE"""),44883.66666666667)</f>
        <v>44883.66667</v>
      </c>
      <c r="D732" s="11">
        <f>IFERROR(__xludf.DUMMYFUNCTION("""COMPUTED_VALUE"""),241.22)</f>
        <v>241.22</v>
      </c>
      <c r="E732" s="12">
        <f>IFERROR(__xludf.DUMMYFUNCTION("""COMPUTED_VALUE"""),44883.66666666667)</f>
        <v>44883.66667</v>
      </c>
      <c r="F732" s="11">
        <f>IFERROR(__xludf.DUMMYFUNCTION("""COMPUTED_VALUE"""),180.19)</f>
        <v>180.19</v>
      </c>
      <c r="G732" s="12">
        <f>IFERROR(__xludf.DUMMYFUNCTION("""COMPUTED_VALUE"""),44883.66666666667)</f>
        <v>44883.66667</v>
      </c>
      <c r="H732" s="11">
        <f>IFERROR(__xludf.DUMMYFUNCTION("""COMPUTED_VALUE"""),151.29)</f>
        <v>151.29</v>
      </c>
    </row>
    <row r="733" ht="15.75" customHeight="1">
      <c r="A733" s="12">
        <f>IFERROR(__xludf.DUMMYFUNCTION("""COMPUTED_VALUE"""),44886.66666666667)</f>
        <v>44886.66667</v>
      </c>
      <c r="B733" s="11">
        <f>IFERROR(__xludf.DUMMYFUNCTION("""COMPUTED_VALUE"""),62.08)</f>
        <v>62.08</v>
      </c>
      <c r="C733" s="12">
        <f>IFERROR(__xludf.DUMMYFUNCTION("""COMPUTED_VALUE"""),44886.66666666667)</f>
        <v>44886.66667</v>
      </c>
      <c r="D733" s="11">
        <f>IFERROR(__xludf.DUMMYFUNCTION("""COMPUTED_VALUE"""),242.05)</f>
        <v>242.05</v>
      </c>
      <c r="E733" s="12">
        <f>IFERROR(__xludf.DUMMYFUNCTION("""COMPUTED_VALUE"""),44886.66666666667)</f>
        <v>44886.66667</v>
      </c>
      <c r="F733" s="11">
        <f>IFERROR(__xludf.DUMMYFUNCTION("""COMPUTED_VALUE"""),167.87)</f>
        <v>167.87</v>
      </c>
      <c r="G733" s="12">
        <f>IFERROR(__xludf.DUMMYFUNCTION("""COMPUTED_VALUE"""),44886.66666666667)</f>
        <v>44886.66667</v>
      </c>
      <c r="H733" s="11">
        <f>IFERROR(__xludf.DUMMYFUNCTION("""COMPUTED_VALUE"""),148.01)</f>
        <v>148.01</v>
      </c>
    </row>
    <row r="734" ht="15.75" customHeight="1">
      <c r="A734" s="12">
        <f>IFERROR(__xludf.DUMMYFUNCTION("""COMPUTED_VALUE"""),44887.66666666667)</f>
        <v>44887.66667</v>
      </c>
      <c r="B734" s="11">
        <f>IFERROR(__xludf.DUMMYFUNCTION("""COMPUTED_VALUE"""),62.35)</f>
        <v>62.35</v>
      </c>
      <c r="C734" s="12">
        <f>IFERROR(__xludf.DUMMYFUNCTION("""COMPUTED_VALUE"""),44887.66666666667)</f>
        <v>44887.66667</v>
      </c>
      <c r="D734" s="11">
        <f>IFERROR(__xludf.DUMMYFUNCTION("""COMPUTED_VALUE"""),245.03)</f>
        <v>245.03</v>
      </c>
      <c r="E734" s="12">
        <f>IFERROR(__xludf.DUMMYFUNCTION("""COMPUTED_VALUE"""),44887.66666666667)</f>
        <v>44887.66667</v>
      </c>
      <c r="F734" s="11">
        <f>IFERROR(__xludf.DUMMYFUNCTION("""COMPUTED_VALUE"""),169.91)</f>
        <v>169.91</v>
      </c>
      <c r="G734" s="12">
        <f>IFERROR(__xludf.DUMMYFUNCTION("""COMPUTED_VALUE"""),44887.66666666667)</f>
        <v>44887.66667</v>
      </c>
      <c r="H734" s="11">
        <f>IFERROR(__xludf.DUMMYFUNCTION("""COMPUTED_VALUE"""),150.18)</f>
        <v>150.18</v>
      </c>
    </row>
    <row r="735" ht="15.75" customHeight="1">
      <c r="A735" s="12">
        <f>IFERROR(__xludf.DUMMYFUNCTION("""COMPUTED_VALUE"""),44888.66666666667)</f>
        <v>44888.66667</v>
      </c>
      <c r="B735" s="11">
        <f>IFERROR(__xludf.DUMMYFUNCTION("""COMPUTED_VALUE"""),62.63)</f>
        <v>62.63</v>
      </c>
      <c r="C735" s="12">
        <f>IFERROR(__xludf.DUMMYFUNCTION("""COMPUTED_VALUE"""),44888.66666666667)</f>
        <v>44888.66667</v>
      </c>
      <c r="D735" s="11">
        <f>IFERROR(__xludf.DUMMYFUNCTION("""COMPUTED_VALUE"""),247.58)</f>
        <v>247.58</v>
      </c>
      <c r="E735" s="12">
        <f>IFERROR(__xludf.DUMMYFUNCTION("""COMPUTED_VALUE"""),44888.66666666667)</f>
        <v>44888.66667</v>
      </c>
      <c r="F735" s="11">
        <f>IFERROR(__xludf.DUMMYFUNCTION("""COMPUTED_VALUE"""),183.2)</f>
        <v>183.2</v>
      </c>
      <c r="G735" s="12">
        <f>IFERROR(__xludf.DUMMYFUNCTION("""COMPUTED_VALUE"""),44888.66666666667)</f>
        <v>44888.66667</v>
      </c>
      <c r="H735" s="11">
        <f>IFERROR(__xludf.DUMMYFUNCTION("""COMPUTED_VALUE"""),151.07)</f>
        <v>151.07</v>
      </c>
    </row>
    <row r="736" ht="15.75" customHeight="1">
      <c r="A736" s="12">
        <f>IFERROR(__xludf.DUMMYFUNCTION("""COMPUTED_VALUE"""),44890.54166666667)</f>
        <v>44890.54167</v>
      </c>
      <c r="B736" s="11">
        <f>IFERROR(__xludf.DUMMYFUNCTION("""COMPUTED_VALUE"""),62.69)</f>
        <v>62.69</v>
      </c>
      <c r="C736" s="12">
        <f>IFERROR(__xludf.DUMMYFUNCTION("""COMPUTED_VALUE"""),44890.54513888889)</f>
        <v>44890.54514</v>
      </c>
      <c r="D736" s="11">
        <f>IFERROR(__xludf.DUMMYFUNCTION("""COMPUTED_VALUE"""),247.49)</f>
        <v>247.49</v>
      </c>
      <c r="E736" s="12">
        <f>IFERROR(__xludf.DUMMYFUNCTION("""COMPUTED_VALUE"""),44890.54513888889)</f>
        <v>44890.54514</v>
      </c>
      <c r="F736" s="11">
        <f>IFERROR(__xludf.DUMMYFUNCTION("""COMPUTED_VALUE"""),182.86)</f>
        <v>182.86</v>
      </c>
      <c r="G736" s="12">
        <f>IFERROR(__xludf.DUMMYFUNCTION("""COMPUTED_VALUE"""),44890.54513888889)</f>
        <v>44890.54514</v>
      </c>
      <c r="H736" s="11">
        <f>IFERROR(__xludf.DUMMYFUNCTION("""COMPUTED_VALUE"""),148.11)</f>
        <v>148.11</v>
      </c>
    </row>
    <row r="737" ht="15.75" customHeight="1">
      <c r="A737" s="12">
        <f>IFERROR(__xludf.DUMMYFUNCTION("""COMPUTED_VALUE"""),44893.66666666667)</f>
        <v>44893.66667</v>
      </c>
      <c r="B737" s="11">
        <f>IFERROR(__xludf.DUMMYFUNCTION("""COMPUTED_VALUE"""),62.7)</f>
        <v>62.7</v>
      </c>
      <c r="C737" s="12">
        <f>IFERROR(__xludf.DUMMYFUNCTION("""COMPUTED_VALUE"""),44893.66666666667)</f>
        <v>44893.66667</v>
      </c>
      <c r="D737" s="11">
        <f>IFERROR(__xludf.DUMMYFUNCTION("""COMPUTED_VALUE"""),241.76)</f>
        <v>241.76</v>
      </c>
      <c r="E737" s="12">
        <f>IFERROR(__xludf.DUMMYFUNCTION("""COMPUTED_VALUE"""),44893.66666666667)</f>
        <v>44893.66667</v>
      </c>
      <c r="F737" s="11">
        <f>IFERROR(__xludf.DUMMYFUNCTION("""COMPUTED_VALUE"""),182.92)</f>
        <v>182.92</v>
      </c>
      <c r="G737" s="12">
        <f>IFERROR(__xludf.DUMMYFUNCTION("""COMPUTED_VALUE"""),44893.66666666667)</f>
        <v>44893.66667</v>
      </c>
      <c r="H737" s="11">
        <f>IFERROR(__xludf.DUMMYFUNCTION("""COMPUTED_VALUE"""),144.22)</f>
        <v>144.22</v>
      </c>
    </row>
    <row r="738" ht="15.75" customHeight="1">
      <c r="A738" s="12">
        <f>IFERROR(__xludf.DUMMYFUNCTION("""COMPUTED_VALUE"""),44894.66666666667)</f>
        <v>44894.66667</v>
      </c>
      <c r="B738" s="11">
        <f>IFERROR(__xludf.DUMMYFUNCTION("""COMPUTED_VALUE"""),62.48)</f>
        <v>62.48</v>
      </c>
      <c r="C738" s="12">
        <f>IFERROR(__xludf.DUMMYFUNCTION("""COMPUTED_VALUE"""),44894.66666666667)</f>
        <v>44894.66667</v>
      </c>
      <c r="D738" s="11">
        <f>IFERROR(__xludf.DUMMYFUNCTION("""COMPUTED_VALUE"""),240.33)</f>
        <v>240.33</v>
      </c>
      <c r="E738" s="12">
        <f>IFERROR(__xludf.DUMMYFUNCTION("""COMPUTED_VALUE"""),44894.66666666667)</f>
        <v>44894.66667</v>
      </c>
      <c r="F738" s="11">
        <f>IFERROR(__xludf.DUMMYFUNCTION("""COMPUTED_VALUE"""),180.83)</f>
        <v>180.83</v>
      </c>
      <c r="G738" s="12">
        <f>IFERROR(__xludf.DUMMYFUNCTION("""COMPUTED_VALUE"""),44894.66666666667)</f>
        <v>44894.66667</v>
      </c>
      <c r="H738" s="11">
        <f>IFERROR(__xludf.DUMMYFUNCTION("""COMPUTED_VALUE"""),141.17)</f>
        <v>141.17</v>
      </c>
    </row>
    <row r="739" ht="15.75" customHeight="1">
      <c r="A739" s="12">
        <f>IFERROR(__xludf.DUMMYFUNCTION("""COMPUTED_VALUE"""),44895.66666666667)</f>
        <v>44895.66667</v>
      </c>
      <c r="B739" s="11">
        <f>IFERROR(__xludf.DUMMYFUNCTION("""COMPUTED_VALUE"""),63.61)</f>
        <v>63.61</v>
      </c>
      <c r="C739" s="12">
        <f>IFERROR(__xludf.DUMMYFUNCTION("""COMPUTED_VALUE"""),44895.66666666667)</f>
        <v>44895.66667</v>
      </c>
      <c r="D739" s="11">
        <f>IFERROR(__xludf.DUMMYFUNCTION("""COMPUTED_VALUE"""),255.14)</f>
        <v>255.14</v>
      </c>
      <c r="E739" s="12">
        <f>IFERROR(__xludf.DUMMYFUNCTION("""COMPUTED_VALUE"""),44895.66666666667)</f>
        <v>44895.66667</v>
      </c>
      <c r="F739" s="11">
        <f>IFERROR(__xludf.DUMMYFUNCTION("""COMPUTED_VALUE"""),194.7)</f>
        <v>194.7</v>
      </c>
      <c r="G739" s="12">
        <f>IFERROR(__xludf.DUMMYFUNCTION("""COMPUTED_VALUE"""),44895.66666666667)</f>
        <v>44895.66667</v>
      </c>
      <c r="H739" s="11">
        <f>IFERROR(__xludf.DUMMYFUNCTION("""COMPUTED_VALUE"""),148.03)</f>
        <v>148.03</v>
      </c>
    </row>
    <row r="740" ht="15.75" customHeight="1">
      <c r="A740" s="12">
        <f>IFERROR(__xludf.DUMMYFUNCTION("""COMPUTED_VALUE"""),44896.66666666667)</f>
        <v>44896.66667</v>
      </c>
      <c r="B740" s="11">
        <f>IFERROR(__xludf.DUMMYFUNCTION("""COMPUTED_VALUE"""),63.79)</f>
        <v>63.79</v>
      </c>
      <c r="C740" s="12">
        <f>IFERROR(__xludf.DUMMYFUNCTION("""COMPUTED_VALUE"""),44896.66666666667)</f>
        <v>44896.66667</v>
      </c>
      <c r="D740" s="11">
        <f>IFERROR(__xludf.DUMMYFUNCTION("""COMPUTED_VALUE"""),254.69)</f>
        <v>254.69</v>
      </c>
      <c r="E740" s="12">
        <f>IFERROR(__xludf.DUMMYFUNCTION("""COMPUTED_VALUE"""),44896.66666666667)</f>
        <v>44896.66667</v>
      </c>
      <c r="F740" s="11">
        <f>IFERROR(__xludf.DUMMYFUNCTION("""COMPUTED_VALUE"""),194.7)</f>
        <v>194.7</v>
      </c>
      <c r="G740" s="12">
        <f>IFERROR(__xludf.DUMMYFUNCTION("""COMPUTED_VALUE"""),44896.66666666667)</f>
        <v>44896.66667</v>
      </c>
      <c r="H740" s="11">
        <f>IFERROR(__xludf.DUMMYFUNCTION("""COMPUTED_VALUE"""),148.31)</f>
        <v>148.31</v>
      </c>
    </row>
    <row r="741" ht="15.75" customHeight="1">
      <c r="A741" s="12">
        <f>IFERROR(__xludf.DUMMYFUNCTION("""COMPUTED_VALUE"""),44897.66666666667)</f>
        <v>44897.66667</v>
      </c>
      <c r="B741" s="11">
        <f>IFERROR(__xludf.DUMMYFUNCTION("""COMPUTED_VALUE"""),64.35)</f>
        <v>64.35</v>
      </c>
      <c r="C741" s="12">
        <f>IFERROR(__xludf.DUMMYFUNCTION("""COMPUTED_VALUE"""),44897.66666666667)</f>
        <v>44897.66667</v>
      </c>
      <c r="D741" s="11">
        <f>IFERROR(__xludf.DUMMYFUNCTION("""COMPUTED_VALUE"""),255.02)</f>
        <v>255.02</v>
      </c>
      <c r="E741" s="12">
        <f>IFERROR(__xludf.DUMMYFUNCTION("""COMPUTED_VALUE"""),44897.66666666667)</f>
        <v>44897.66667</v>
      </c>
      <c r="F741" s="11">
        <f>IFERROR(__xludf.DUMMYFUNCTION("""COMPUTED_VALUE"""),194.86)</f>
        <v>194.86</v>
      </c>
      <c r="G741" s="12">
        <f>IFERROR(__xludf.DUMMYFUNCTION("""COMPUTED_VALUE"""),44897.66666666667)</f>
        <v>44897.66667</v>
      </c>
      <c r="H741" s="11">
        <f>IFERROR(__xludf.DUMMYFUNCTION("""COMPUTED_VALUE"""),147.81)</f>
        <v>147.81</v>
      </c>
    </row>
    <row r="742" ht="15.75" customHeight="1">
      <c r="A742" s="12">
        <f>IFERROR(__xludf.DUMMYFUNCTION("""COMPUTED_VALUE"""),44900.66666666667)</f>
        <v>44900.66667</v>
      </c>
      <c r="B742" s="11">
        <f>IFERROR(__xludf.DUMMYFUNCTION("""COMPUTED_VALUE"""),63.47)</f>
        <v>63.47</v>
      </c>
      <c r="C742" s="12">
        <f>IFERROR(__xludf.DUMMYFUNCTION("""COMPUTED_VALUE"""),44900.66666666667)</f>
        <v>44900.66667</v>
      </c>
      <c r="D742" s="11">
        <f>IFERROR(__xludf.DUMMYFUNCTION("""COMPUTED_VALUE"""),250.2)</f>
        <v>250.2</v>
      </c>
      <c r="E742" s="12">
        <f>IFERROR(__xludf.DUMMYFUNCTION("""COMPUTED_VALUE"""),44900.66666666667)</f>
        <v>44900.66667</v>
      </c>
      <c r="F742" s="11">
        <f>IFERROR(__xludf.DUMMYFUNCTION("""COMPUTED_VALUE"""),182.45)</f>
        <v>182.45</v>
      </c>
      <c r="G742" s="12">
        <f>IFERROR(__xludf.DUMMYFUNCTION("""COMPUTED_VALUE"""),44900.66666666667)</f>
        <v>44900.66667</v>
      </c>
      <c r="H742" s="11">
        <f>IFERROR(__xludf.DUMMYFUNCTION("""COMPUTED_VALUE"""),146.63)</f>
        <v>146.63</v>
      </c>
    </row>
    <row r="743" ht="15.75" customHeight="1">
      <c r="A743" s="12">
        <f>IFERROR(__xludf.DUMMYFUNCTION("""COMPUTED_VALUE"""),44901.66666666667)</f>
        <v>44901.66667</v>
      </c>
      <c r="B743" s="11">
        <f>IFERROR(__xludf.DUMMYFUNCTION("""COMPUTED_VALUE"""),63.44)</f>
        <v>63.44</v>
      </c>
      <c r="C743" s="12">
        <f>IFERROR(__xludf.DUMMYFUNCTION("""COMPUTED_VALUE"""),44901.66666666667)</f>
        <v>44901.66667</v>
      </c>
      <c r="D743" s="11">
        <f>IFERROR(__xludf.DUMMYFUNCTION("""COMPUTED_VALUE"""),245.12)</f>
        <v>245.12</v>
      </c>
      <c r="E743" s="12">
        <f>IFERROR(__xludf.DUMMYFUNCTION("""COMPUTED_VALUE"""),44901.66666666667)</f>
        <v>44901.66667</v>
      </c>
      <c r="F743" s="11">
        <f>IFERROR(__xludf.DUMMYFUNCTION("""COMPUTED_VALUE"""),179.82)</f>
        <v>179.82</v>
      </c>
      <c r="G743" s="12">
        <f>IFERROR(__xludf.DUMMYFUNCTION("""COMPUTED_VALUE"""),44901.66666666667)</f>
        <v>44901.66667</v>
      </c>
      <c r="H743" s="11">
        <f>IFERROR(__xludf.DUMMYFUNCTION("""COMPUTED_VALUE"""),142.91)</f>
        <v>142.91</v>
      </c>
    </row>
    <row r="744" ht="15.75" customHeight="1">
      <c r="A744" s="12">
        <f>IFERROR(__xludf.DUMMYFUNCTION("""COMPUTED_VALUE"""),44902.66666666667)</f>
        <v>44902.66667</v>
      </c>
      <c r="B744" s="11">
        <f>IFERROR(__xludf.DUMMYFUNCTION("""COMPUTED_VALUE"""),63.54)</f>
        <v>63.54</v>
      </c>
      <c r="C744" s="12">
        <f>IFERROR(__xludf.DUMMYFUNCTION("""COMPUTED_VALUE"""),44902.66666666667)</f>
        <v>44902.66667</v>
      </c>
      <c r="D744" s="11">
        <f>IFERROR(__xludf.DUMMYFUNCTION("""COMPUTED_VALUE"""),244.37)</f>
        <v>244.37</v>
      </c>
      <c r="E744" s="12">
        <f>IFERROR(__xludf.DUMMYFUNCTION("""COMPUTED_VALUE"""),44902.66666666667)</f>
        <v>44902.66667</v>
      </c>
      <c r="F744" s="11">
        <f>IFERROR(__xludf.DUMMYFUNCTION("""COMPUTED_VALUE"""),174.04)</f>
        <v>174.04</v>
      </c>
      <c r="G744" s="12">
        <f>IFERROR(__xludf.DUMMYFUNCTION("""COMPUTED_VALUE"""),44902.66666666667)</f>
        <v>44902.66667</v>
      </c>
      <c r="H744" s="11">
        <f>IFERROR(__xludf.DUMMYFUNCTION("""COMPUTED_VALUE"""),140.94)</f>
        <v>140.94</v>
      </c>
    </row>
    <row r="745" ht="15.75" customHeight="1">
      <c r="A745" s="12">
        <f>IFERROR(__xludf.DUMMYFUNCTION("""COMPUTED_VALUE"""),44903.66666666667)</f>
        <v>44903.66667</v>
      </c>
      <c r="B745" s="11">
        <f>IFERROR(__xludf.DUMMYFUNCTION("""COMPUTED_VALUE"""),63.81)</f>
        <v>63.81</v>
      </c>
      <c r="C745" s="12">
        <f>IFERROR(__xludf.DUMMYFUNCTION("""COMPUTED_VALUE"""),44903.66666666667)</f>
        <v>44903.66667</v>
      </c>
      <c r="D745" s="11">
        <f>IFERROR(__xludf.DUMMYFUNCTION("""COMPUTED_VALUE"""),247.4)</f>
        <v>247.4</v>
      </c>
      <c r="E745" s="12">
        <f>IFERROR(__xludf.DUMMYFUNCTION("""COMPUTED_VALUE"""),44903.66666666667)</f>
        <v>44903.66667</v>
      </c>
      <c r="F745" s="11">
        <f>IFERROR(__xludf.DUMMYFUNCTION("""COMPUTED_VALUE"""),173.44)</f>
        <v>173.44</v>
      </c>
      <c r="G745" s="12">
        <f>IFERROR(__xludf.DUMMYFUNCTION("""COMPUTED_VALUE"""),44903.66666666667)</f>
        <v>44903.66667</v>
      </c>
      <c r="H745" s="11">
        <f>IFERROR(__xludf.DUMMYFUNCTION("""COMPUTED_VALUE"""),142.65)</f>
        <v>142.65</v>
      </c>
    </row>
    <row r="746" ht="15.75" customHeight="1">
      <c r="A746" s="12">
        <f>IFERROR(__xludf.DUMMYFUNCTION("""COMPUTED_VALUE"""),44904.66666666667)</f>
        <v>44904.66667</v>
      </c>
      <c r="B746" s="11">
        <f>IFERROR(__xludf.DUMMYFUNCTION("""COMPUTED_VALUE"""),63.14)</f>
        <v>63.14</v>
      </c>
      <c r="C746" s="12">
        <f>IFERROR(__xludf.DUMMYFUNCTION("""COMPUTED_VALUE"""),44904.66666666667)</f>
        <v>44904.66667</v>
      </c>
      <c r="D746" s="11">
        <f>IFERROR(__xludf.DUMMYFUNCTION("""COMPUTED_VALUE"""),245.42)</f>
        <v>245.42</v>
      </c>
      <c r="E746" s="12">
        <f>IFERROR(__xludf.DUMMYFUNCTION("""COMPUTED_VALUE"""),44904.66666666667)</f>
        <v>44904.66667</v>
      </c>
      <c r="F746" s="11">
        <f>IFERROR(__xludf.DUMMYFUNCTION("""COMPUTED_VALUE"""),179.05)</f>
        <v>179.05</v>
      </c>
      <c r="G746" s="12">
        <f>IFERROR(__xludf.DUMMYFUNCTION("""COMPUTED_VALUE"""),44904.66666666667)</f>
        <v>44904.66667</v>
      </c>
      <c r="H746" s="11">
        <f>IFERROR(__xludf.DUMMYFUNCTION("""COMPUTED_VALUE"""),142.16)</f>
        <v>142.16</v>
      </c>
    </row>
    <row r="747" ht="15.75" customHeight="1">
      <c r="A747" s="12">
        <f>IFERROR(__xludf.DUMMYFUNCTION("""COMPUTED_VALUE"""),44907.66666666667)</f>
        <v>44907.66667</v>
      </c>
      <c r="B747" s="11">
        <f>IFERROR(__xludf.DUMMYFUNCTION("""COMPUTED_VALUE"""),63.97)</f>
        <v>63.97</v>
      </c>
      <c r="C747" s="12">
        <f>IFERROR(__xludf.DUMMYFUNCTION("""COMPUTED_VALUE"""),44907.66666666667)</f>
        <v>44907.66667</v>
      </c>
      <c r="D747" s="11">
        <f>IFERROR(__xludf.DUMMYFUNCTION("""COMPUTED_VALUE"""),252.51)</f>
        <v>252.51</v>
      </c>
      <c r="E747" s="12">
        <f>IFERROR(__xludf.DUMMYFUNCTION("""COMPUTED_VALUE"""),44907.66666666667)</f>
        <v>44907.66667</v>
      </c>
      <c r="F747" s="11">
        <f>IFERROR(__xludf.DUMMYFUNCTION("""COMPUTED_VALUE"""),167.82)</f>
        <v>167.82</v>
      </c>
      <c r="G747" s="12">
        <f>IFERROR(__xludf.DUMMYFUNCTION("""COMPUTED_VALUE"""),44907.66666666667)</f>
        <v>44907.66667</v>
      </c>
      <c r="H747" s="11">
        <f>IFERROR(__xludf.DUMMYFUNCTION("""COMPUTED_VALUE"""),144.49)</f>
        <v>144.49</v>
      </c>
    </row>
    <row r="748" ht="15.75" customHeight="1">
      <c r="A748" s="12">
        <f>IFERROR(__xludf.DUMMYFUNCTION("""COMPUTED_VALUE"""),44908.66666666667)</f>
        <v>44908.66667</v>
      </c>
      <c r="B748" s="11">
        <f>IFERROR(__xludf.DUMMYFUNCTION("""COMPUTED_VALUE"""),63.99)</f>
        <v>63.99</v>
      </c>
      <c r="C748" s="12">
        <f>IFERROR(__xludf.DUMMYFUNCTION("""COMPUTED_VALUE"""),44908.66666666667)</f>
        <v>44908.66667</v>
      </c>
      <c r="D748" s="11">
        <f>IFERROR(__xludf.DUMMYFUNCTION("""COMPUTED_VALUE"""),256.92)</f>
        <v>256.92</v>
      </c>
      <c r="E748" s="12">
        <f>IFERROR(__xludf.DUMMYFUNCTION("""COMPUTED_VALUE"""),44908.66666666667)</f>
        <v>44908.66667</v>
      </c>
      <c r="F748" s="11">
        <f>IFERROR(__xludf.DUMMYFUNCTION("""COMPUTED_VALUE"""),160.95)</f>
        <v>160.95</v>
      </c>
      <c r="G748" s="12">
        <f>IFERROR(__xludf.DUMMYFUNCTION("""COMPUTED_VALUE"""),44908.66666666667)</f>
        <v>44908.66667</v>
      </c>
      <c r="H748" s="11">
        <f>IFERROR(__xludf.DUMMYFUNCTION("""COMPUTED_VALUE"""),145.47)</f>
        <v>145.47</v>
      </c>
    </row>
    <row r="749" ht="15.75" customHeight="1">
      <c r="A749" s="12">
        <f>IFERROR(__xludf.DUMMYFUNCTION("""COMPUTED_VALUE"""),44909.66666666667)</f>
        <v>44909.66667</v>
      </c>
      <c r="B749" s="11">
        <f>IFERROR(__xludf.DUMMYFUNCTION("""COMPUTED_VALUE"""),63.99)</f>
        <v>63.99</v>
      </c>
      <c r="C749" s="12">
        <f>IFERROR(__xludf.DUMMYFUNCTION("""COMPUTED_VALUE"""),44909.66666666667)</f>
        <v>44909.66667</v>
      </c>
      <c r="D749" s="11">
        <f>IFERROR(__xludf.DUMMYFUNCTION("""COMPUTED_VALUE"""),257.22)</f>
        <v>257.22</v>
      </c>
      <c r="E749" s="12">
        <f>IFERROR(__xludf.DUMMYFUNCTION("""COMPUTED_VALUE"""),44909.66666666667)</f>
        <v>44909.66667</v>
      </c>
      <c r="F749" s="11">
        <f>IFERROR(__xludf.DUMMYFUNCTION("""COMPUTED_VALUE"""),156.8)</f>
        <v>156.8</v>
      </c>
      <c r="G749" s="12">
        <f>IFERROR(__xludf.DUMMYFUNCTION("""COMPUTED_VALUE"""),44909.66666666667)</f>
        <v>44909.66667</v>
      </c>
      <c r="H749" s="11">
        <f>IFERROR(__xludf.DUMMYFUNCTION("""COMPUTED_VALUE"""),143.21)</f>
        <v>143.21</v>
      </c>
    </row>
    <row r="750" ht="15.75" customHeight="1">
      <c r="A750" s="12">
        <f>IFERROR(__xludf.DUMMYFUNCTION("""COMPUTED_VALUE"""),44910.66666666667)</f>
        <v>44910.66667</v>
      </c>
      <c r="B750" s="11">
        <f>IFERROR(__xludf.DUMMYFUNCTION("""COMPUTED_VALUE"""),63.11)</f>
        <v>63.11</v>
      </c>
      <c r="C750" s="12">
        <f>IFERROR(__xludf.DUMMYFUNCTION("""COMPUTED_VALUE"""),44910.66666666667)</f>
        <v>44910.66667</v>
      </c>
      <c r="D750" s="11">
        <f>IFERROR(__xludf.DUMMYFUNCTION("""COMPUTED_VALUE"""),249.01)</f>
        <v>249.01</v>
      </c>
      <c r="E750" s="12">
        <f>IFERROR(__xludf.DUMMYFUNCTION("""COMPUTED_VALUE"""),44910.66666666667)</f>
        <v>44910.66667</v>
      </c>
      <c r="F750" s="11">
        <f>IFERROR(__xludf.DUMMYFUNCTION("""COMPUTED_VALUE"""),157.67)</f>
        <v>157.67</v>
      </c>
      <c r="G750" s="12">
        <f>IFERROR(__xludf.DUMMYFUNCTION("""COMPUTED_VALUE"""),44910.66666666667)</f>
        <v>44910.66667</v>
      </c>
      <c r="H750" s="11">
        <f>IFERROR(__xludf.DUMMYFUNCTION("""COMPUTED_VALUE"""),136.5)</f>
        <v>136.5</v>
      </c>
    </row>
    <row r="751" ht="15.75" customHeight="1">
      <c r="A751" s="12">
        <f>IFERROR(__xludf.DUMMYFUNCTION("""COMPUTED_VALUE"""),44911.66666666667)</f>
        <v>44911.66667</v>
      </c>
      <c r="B751" s="11">
        <f>IFERROR(__xludf.DUMMYFUNCTION("""COMPUTED_VALUE"""),62.75)</f>
        <v>62.75</v>
      </c>
      <c r="C751" s="12">
        <f>IFERROR(__xludf.DUMMYFUNCTION("""COMPUTED_VALUE"""),44911.66666666667)</f>
        <v>44911.66667</v>
      </c>
      <c r="D751" s="11">
        <f>IFERROR(__xludf.DUMMYFUNCTION("""COMPUTED_VALUE"""),244.69)</f>
        <v>244.69</v>
      </c>
      <c r="E751" s="12">
        <f>IFERROR(__xludf.DUMMYFUNCTION("""COMPUTED_VALUE"""),44911.66666666667)</f>
        <v>44911.66667</v>
      </c>
      <c r="F751" s="11">
        <f>IFERROR(__xludf.DUMMYFUNCTION("""COMPUTED_VALUE"""),150.23)</f>
        <v>150.23</v>
      </c>
      <c r="G751" s="12">
        <f>IFERROR(__xludf.DUMMYFUNCTION("""COMPUTED_VALUE"""),44911.66666666667)</f>
        <v>44911.66667</v>
      </c>
      <c r="H751" s="11">
        <f>IFERROR(__xludf.DUMMYFUNCTION("""COMPUTED_VALUE"""),134.51)</f>
        <v>134.51</v>
      </c>
    </row>
    <row r="752" ht="15.75" customHeight="1">
      <c r="A752" s="12">
        <f>IFERROR(__xludf.DUMMYFUNCTION("""COMPUTED_VALUE"""),44914.66666666667)</f>
        <v>44914.66667</v>
      </c>
      <c r="B752" s="11">
        <f>IFERROR(__xludf.DUMMYFUNCTION("""COMPUTED_VALUE"""),62.84)</f>
        <v>62.84</v>
      </c>
      <c r="C752" s="12">
        <f>IFERROR(__xludf.DUMMYFUNCTION("""COMPUTED_VALUE"""),44914.66666666667)</f>
        <v>44914.66667</v>
      </c>
      <c r="D752" s="11">
        <f>IFERROR(__xludf.DUMMYFUNCTION("""COMPUTED_VALUE"""),240.45)</f>
        <v>240.45</v>
      </c>
      <c r="E752" s="12">
        <f>IFERROR(__xludf.DUMMYFUNCTION("""COMPUTED_VALUE"""),44914.66666666667)</f>
        <v>44914.66667</v>
      </c>
      <c r="F752" s="11">
        <f>IFERROR(__xludf.DUMMYFUNCTION("""COMPUTED_VALUE"""),149.87)</f>
        <v>149.87</v>
      </c>
      <c r="G752" s="12">
        <f>IFERROR(__xludf.DUMMYFUNCTION("""COMPUTED_VALUE"""),44914.66666666667)</f>
        <v>44914.66667</v>
      </c>
      <c r="H752" s="11">
        <f>IFERROR(__xludf.DUMMYFUNCTION("""COMPUTED_VALUE"""),132.37)</f>
        <v>132.37</v>
      </c>
    </row>
    <row r="753" ht="15.75" customHeight="1">
      <c r="A753" s="12">
        <f>IFERROR(__xludf.DUMMYFUNCTION("""COMPUTED_VALUE"""),44915.66666666667)</f>
        <v>44915.66667</v>
      </c>
      <c r="B753" s="11">
        <f>IFERROR(__xludf.DUMMYFUNCTION("""COMPUTED_VALUE"""),62.79)</f>
        <v>62.79</v>
      </c>
      <c r="C753" s="12">
        <f>IFERROR(__xludf.DUMMYFUNCTION("""COMPUTED_VALUE"""),44915.66666666667)</f>
        <v>44915.66667</v>
      </c>
      <c r="D753" s="11">
        <f>IFERROR(__xludf.DUMMYFUNCTION("""COMPUTED_VALUE"""),241.8)</f>
        <v>241.8</v>
      </c>
      <c r="E753" s="12">
        <f>IFERROR(__xludf.DUMMYFUNCTION("""COMPUTED_VALUE"""),44915.66666666667)</f>
        <v>44915.66667</v>
      </c>
      <c r="F753" s="11">
        <f>IFERROR(__xludf.DUMMYFUNCTION("""COMPUTED_VALUE"""),137.8)</f>
        <v>137.8</v>
      </c>
      <c r="G753" s="12">
        <f>IFERROR(__xludf.DUMMYFUNCTION("""COMPUTED_VALUE"""),44915.66666666667)</f>
        <v>44915.66667</v>
      </c>
      <c r="H753" s="11">
        <f>IFERROR(__xludf.DUMMYFUNCTION("""COMPUTED_VALUE"""),132.3)</f>
        <v>132.3</v>
      </c>
    </row>
    <row r="754" ht="15.75" customHeight="1">
      <c r="A754" s="12">
        <f>IFERROR(__xludf.DUMMYFUNCTION("""COMPUTED_VALUE"""),44916.66666666667)</f>
        <v>44916.66667</v>
      </c>
      <c r="B754" s="11">
        <f>IFERROR(__xludf.DUMMYFUNCTION("""COMPUTED_VALUE"""),63.8)</f>
        <v>63.8</v>
      </c>
      <c r="C754" s="12">
        <f>IFERROR(__xludf.DUMMYFUNCTION("""COMPUTED_VALUE"""),44916.66666666667)</f>
        <v>44916.66667</v>
      </c>
      <c r="D754" s="11">
        <f>IFERROR(__xludf.DUMMYFUNCTION("""COMPUTED_VALUE"""),244.43)</f>
        <v>244.43</v>
      </c>
      <c r="E754" s="12">
        <f>IFERROR(__xludf.DUMMYFUNCTION("""COMPUTED_VALUE"""),44916.66666666667)</f>
        <v>44916.66667</v>
      </c>
      <c r="F754" s="11">
        <f>IFERROR(__xludf.DUMMYFUNCTION("""COMPUTED_VALUE"""),137.57)</f>
        <v>137.57</v>
      </c>
      <c r="G754" s="12">
        <f>IFERROR(__xludf.DUMMYFUNCTION("""COMPUTED_VALUE"""),44916.66666666667)</f>
        <v>44916.66667</v>
      </c>
      <c r="H754" s="11">
        <f>IFERROR(__xludf.DUMMYFUNCTION("""COMPUTED_VALUE"""),135.45)</f>
        <v>135.45</v>
      </c>
    </row>
    <row r="755" ht="15.75" customHeight="1">
      <c r="A755" s="12">
        <f>IFERROR(__xludf.DUMMYFUNCTION("""COMPUTED_VALUE"""),44917.66666666667)</f>
        <v>44917.66667</v>
      </c>
      <c r="B755" s="11">
        <f>IFERROR(__xludf.DUMMYFUNCTION("""COMPUTED_VALUE"""),63.34)</f>
        <v>63.34</v>
      </c>
      <c r="C755" s="12">
        <f>IFERROR(__xludf.DUMMYFUNCTION("""COMPUTED_VALUE"""),44917.66666666667)</f>
        <v>44917.66667</v>
      </c>
      <c r="D755" s="11">
        <f>IFERROR(__xludf.DUMMYFUNCTION("""COMPUTED_VALUE"""),238.19)</f>
        <v>238.19</v>
      </c>
      <c r="E755" s="12">
        <f>IFERROR(__xludf.DUMMYFUNCTION("""COMPUTED_VALUE"""),44917.66666666667)</f>
        <v>44917.66667</v>
      </c>
      <c r="F755" s="11">
        <f>IFERROR(__xludf.DUMMYFUNCTION("""COMPUTED_VALUE"""),125.35)</f>
        <v>125.35</v>
      </c>
      <c r="G755" s="12">
        <f>IFERROR(__xludf.DUMMYFUNCTION("""COMPUTED_VALUE"""),44917.66666666667)</f>
        <v>44917.66667</v>
      </c>
      <c r="H755" s="11">
        <f>IFERROR(__xludf.DUMMYFUNCTION("""COMPUTED_VALUE"""),132.23)</f>
        <v>132.23</v>
      </c>
    </row>
    <row r="756" ht="15.75" customHeight="1">
      <c r="A756" s="12">
        <f>IFERROR(__xludf.DUMMYFUNCTION("""COMPUTED_VALUE"""),44918.66666666667)</f>
        <v>44918.66667</v>
      </c>
      <c r="B756" s="11">
        <f>IFERROR(__xludf.DUMMYFUNCTION("""COMPUTED_VALUE"""),63.82)</f>
        <v>63.82</v>
      </c>
      <c r="C756" s="12">
        <f>IFERROR(__xludf.DUMMYFUNCTION("""COMPUTED_VALUE"""),44918.66666666667)</f>
        <v>44918.66667</v>
      </c>
      <c r="D756" s="11">
        <f>IFERROR(__xludf.DUMMYFUNCTION("""COMPUTED_VALUE"""),238.73)</f>
        <v>238.73</v>
      </c>
      <c r="E756" s="12">
        <f>IFERROR(__xludf.DUMMYFUNCTION("""COMPUTED_VALUE"""),44918.66666666667)</f>
        <v>44918.66667</v>
      </c>
      <c r="F756" s="11">
        <f>IFERROR(__xludf.DUMMYFUNCTION("""COMPUTED_VALUE"""),123.15)</f>
        <v>123.15</v>
      </c>
      <c r="G756" s="12">
        <f>IFERROR(__xludf.DUMMYFUNCTION("""COMPUTED_VALUE"""),44918.66666666667)</f>
        <v>44918.66667</v>
      </c>
      <c r="H756" s="11">
        <f>IFERROR(__xludf.DUMMYFUNCTION("""COMPUTED_VALUE"""),131.86)</f>
        <v>131.86</v>
      </c>
    </row>
    <row r="757" ht="15.75" customHeight="1">
      <c r="A757" s="12">
        <f>IFERROR(__xludf.DUMMYFUNCTION("""COMPUTED_VALUE"""),44922.66666666667)</f>
        <v>44922.66667</v>
      </c>
      <c r="B757" s="11">
        <f>IFERROR(__xludf.DUMMYFUNCTION("""COMPUTED_VALUE"""),64.21)</f>
        <v>64.21</v>
      </c>
      <c r="C757" s="12">
        <f>IFERROR(__xludf.DUMMYFUNCTION("""COMPUTED_VALUE"""),44922.66666666667)</f>
        <v>44922.66667</v>
      </c>
      <c r="D757" s="11">
        <f>IFERROR(__xludf.DUMMYFUNCTION("""COMPUTED_VALUE"""),236.96)</f>
        <v>236.96</v>
      </c>
      <c r="E757" s="12">
        <f>IFERROR(__xludf.DUMMYFUNCTION("""COMPUTED_VALUE"""),44922.66666666667)</f>
        <v>44922.66667</v>
      </c>
      <c r="F757" s="11">
        <f>IFERROR(__xludf.DUMMYFUNCTION("""COMPUTED_VALUE"""),109.1)</f>
        <v>109.1</v>
      </c>
      <c r="G757" s="12">
        <f>IFERROR(__xludf.DUMMYFUNCTION("""COMPUTED_VALUE"""),44922.66666666667)</f>
        <v>44922.66667</v>
      </c>
      <c r="H757" s="11">
        <f>IFERROR(__xludf.DUMMYFUNCTION("""COMPUTED_VALUE"""),130.03)</f>
        <v>130.03</v>
      </c>
    </row>
    <row r="758" ht="15.75" customHeight="1">
      <c r="A758" s="12">
        <f>IFERROR(__xludf.DUMMYFUNCTION("""COMPUTED_VALUE"""),44923.66666666667)</f>
        <v>44923.66667</v>
      </c>
      <c r="B758" s="11">
        <f>IFERROR(__xludf.DUMMYFUNCTION("""COMPUTED_VALUE"""),63.57)</f>
        <v>63.57</v>
      </c>
      <c r="C758" s="12">
        <f>IFERROR(__xludf.DUMMYFUNCTION("""COMPUTED_VALUE"""),44923.66666666667)</f>
        <v>44923.66667</v>
      </c>
      <c r="D758" s="11">
        <f>IFERROR(__xludf.DUMMYFUNCTION("""COMPUTED_VALUE"""),234.53)</f>
        <v>234.53</v>
      </c>
      <c r="E758" s="12">
        <f>IFERROR(__xludf.DUMMYFUNCTION("""COMPUTED_VALUE"""),44923.66666666667)</f>
        <v>44923.66667</v>
      </c>
      <c r="F758" s="11">
        <f>IFERROR(__xludf.DUMMYFUNCTION("""COMPUTED_VALUE"""),112.71)</f>
        <v>112.71</v>
      </c>
      <c r="G758" s="12">
        <f>IFERROR(__xludf.DUMMYFUNCTION("""COMPUTED_VALUE"""),44923.66666666667)</f>
        <v>44923.66667</v>
      </c>
      <c r="H758" s="11">
        <f>IFERROR(__xludf.DUMMYFUNCTION("""COMPUTED_VALUE"""),126.04)</f>
        <v>126.04</v>
      </c>
    </row>
    <row r="759" ht="15.75" customHeight="1">
      <c r="A759" s="12">
        <f>IFERROR(__xludf.DUMMYFUNCTION("""COMPUTED_VALUE"""),44924.66666666667)</f>
        <v>44924.66667</v>
      </c>
      <c r="B759" s="11">
        <f>IFERROR(__xludf.DUMMYFUNCTION("""COMPUTED_VALUE"""),63.95)</f>
        <v>63.95</v>
      </c>
      <c r="C759" s="12">
        <f>IFERROR(__xludf.DUMMYFUNCTION("""COMPUTED_VALUE"""),44924.66666666667)</f>
        <v>44924.66667</v>
      </c>
      <c r="D759" s="11">
        <f>IFERROR(__xludf.DUMMYFUNCTION("""COMPUTED_VALUE"""),241.01)</f>
        <v>241.01</v>
      </c>
      <c r="E759" s="12">
        <f>IFERROR(__xludf.DUMMYFUNCTION("""COMPUTED_VALUE"""),44924.66666666667)</f>
        <v>44924.66667</v>
      </c>
      <c r="F759" s="11">
        <f>IFERROR(__xludf.DUMMYFUNCTION("""COMPUTED_VALUE"""),121.82)</f>
        <v>121.82</v>
      </c>
      <c r="G759" s="12">
        <f>IFERROR(__xludf.DUMMYFUNCTION("""COMPUTED_VALUE"""),44924.66666666667)</f>
        <v>44924.66667</v>
      </c>
      <c r="H759" s="11">
        <f>IFERROR(__xludf.DUMMYFUNCTION("""COMPUTED_VALUE"""),129.61)</f>
        <v>129.61</v>
      </c>
    </row>
    <row r="760" ht="15.75" customHeight="1">
      <c r="A760" s="12">
        <f>IFERROR(__xludf.DUMMYFUNCTION("""COMPUTED_VALUE"""),44925.66666666667)</f>
        <v>44925.66667</v>
      </c>
      <c r="B760" s="11">
        <f>IFERROR(__xludf.DUMMYFUNCTION("""COMPUTED_VALUE"""),63.61)</f>
        <v>63.61</v>
      </c>
      <c r="C760" s="12">
        <f>IFERROR(__xludf.DUMMYFUNCTION("""COMPUTED_VALUE"""),44925.66666666667)</f>
        <v>44925.66667</v>
      </c>
      <c r="D760" s="11">
        <f>IFERROR(__xludf.DUMMYFUNCTION("""COMPUTED_VALUE"""),239.82)</f>
        <v>239.82</v>
      </c>
      <c r="E760" s="12">
        <f>IFERROR(__xludf.DUMMYFUNCTION("""COMPUTED_VALUE"""),44925.66666666667)</f>
        <v>44925.66667</v>
      </c>
      <c r="F760" s="11">
        <f>IFERROR(__xludf.DUMMYFUNCTION("""COMPUTED_VALUE"""),123.18)</f>
        <v>123.18</v>
      </c>
      <c r="G760" s="12">
        <f>IFERROR(__xludf.DUMMYFUNCTION("""COMPUTED_VALUE"""),44925.66666666667)</f>
        <v>44925.66667</v>
      </c>
      <c r="H760" s="11">
        <f>IFERROR(__xludf.DUMMYFUNCTION("""COMPUTED_VALUE"""),129.93)</f>
        <v>129.93</v>
      </c>
    </row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2:B2"/>
    <mergeCell ref="C2:D2"/>
    <mergeCell ref="E2:F2"/>
    <mergeCell ref="G2:H2"/>
  </mergeCells>
  <hyperlinks>
    <hyperlink r:id="rId1" ref="N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3" t="s">
        <v>10</v>
      </c>
    </row>
    <row r="2" ht="15.75" customHeight="1">
      <c r="A2" s="3" t="s">
        <v>4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  <c r="P2" s="3" t="s">
        <v>25</v>
      </c>
      <c r="Q2" s="3" t="s">
        <v>26</v>
      </c>
      <c r="R2" s="3" t="s">
        <v>27</v>
      </c>
      <c r="S2" s="3" t="s">
        <v>28</v>
      </c>
      <c r="T2" s="3" t="s">
        <v>29</v>
      </c>
      <c r="U2" s="3" t="s">
        <v>30</v>
      </c>
    </row>
    <row r="3" ht="15.75" customHeight="1">
      <c r="A3" s="3" t="s">
        <v>5</v>
      </c>
      <c r="B3" s="9" t="str">
        <f>IFERROR(__xludf.DUMMYFUNCTION("GOOGLEFINANCE($A$3,B2)"),"Coca-Cola Co")</f>
        <v>Coca-Cola Co</v>
      </c>
      <c r="C3" s="9">
        <f>IFERROR(__xludf.DUMMYFUNCTION("GOOGLEFINANCE($A$3,C2)"),80.03)</f>
        <v>80.03</v>
      </c>
      <c r="D3" s="9">
        <f>IFERROR(__xludf.DUMMYFUNCTION("GOOGLEFINANCE($A$3,D2)"),79.0)</f>
        <v>79</v>
      </c>
      <c r="E3" s="9">
        <f>IFERROR(__xludf.DUMMYFUNCTION("GOOGLEFINANCE($A$3,E2)"),80.32)</f>
        <v>80.32</v>
      </c>
      <c r="F3" s="9">
        <f>IFERROR(__xludf.DUMMYFUNCTION("GOOGLEFINANCE($A$3,F2)"),78.28)</f>
        <v>78.28</v>
      </c>
      <c r="G3" s="9">
        <f>IFERROR(__xludf.DUMMYFUNCTION("GOOGLEFINANCE($A$3,G2)"),1.98831E7)</f>
        <v>19883100</v>
      </c>
      <c r="H3" s="9">
        <f>IFERROR(__xludf.DUMMYFUNCTION("GOOGLEFINANCE($A$3,H2)"),3.44327629207E11)</f>
        <v>344327629207</v>
      </c>
      <c r="I3" s="14">
        <f>IFERROR(__xludf.DUMMYFUNCTION("GOOGLEFINANCE($A$3,I2)"),46154.666712962964)</f>
        <v>46154.66671</v>
      </c>
      <c r="J3" s="9">
        <f>IFERROR(__xludf.DUMMYFUNCTION("GOOGLEFINANCE($A$3,J2)"),0.0)</f>
        <v>0</v>
      </c>
      <c r="K3" s="9">
        <f>IFERROR(__xludf.DUMMYFUNCTION("GOOGLEFINANCE($A$3,K2)"),1.4002122E7)</f>
        <v>14002122</v>
      </c>
      <c r="L3" s="9">
        <f>IFERROR(__xludf.DUMMYFUNCTION("GOOGLEFINANCE($A$3,L2)"),25.2)</f>
        <v>25.2</v>
      </c>
      <c r="M3" s="9">
        <f>IFERROR(__xludf.DUMMYFUNCTION("GOOGLEFINANCE($A$3,M2)"),3.18)</f>
        <v>3.18</v>
      </c>
      <c r="N3" s="9">
        <f>IFERROR(__xludf.DUMMYFUNCTION("GOOGLEFINANCE($A$3,N2)"),82.0)</f>
        <v>82</v>
      </c>
      <c r="O3" s="9">
        <f>IFERROR(__xludf.DUMMYFUNCTION("GOOGLEFINANCE($A$3,O2)"),65.35)</f>
        <v>65.35</v>
      </c>
      <c r="P3" s="9">
        <f>IFERROR(__xludf.DUMMYFUNCTION("GOOGLEFINANCE($A$3,P2)"),1.37)</f>
        <v>1.37</v>
      </c>
      <c r="Q3" s="9">
        <f>IFERROR(__xludf.DUMMYFUNCTION("GOOGLEFINANCE($A$3,Q2)"),0.35)</f>
        <v>0.35</v>
      </c>
      <c r="R3" s="9">
        <f>IFERROR(__xludf.DUMMYFUNCTION("GOOGLEFINANCE($A$3,R2)"),1.74)</f>
        <v>1.74</v>
      </c>
      <c r="S3" s="9">
        <f>IFERROR(__xludf.DUMMYFUNCTION("GOOGLEFINANCE($A$3,S2)"),78.66)</f>
        <v>78.66</v>
      </c>
      <c r="T3" s="9">
        <f>IFERROR(__xludf.DUMMYFUNCTION("GOOGLEFINANCE($A$3,T2)"),4.302482E9)</f>
        <v>4302482000</v>
      </c>
      <c r="U3" s="9" t="str">
        <f>IFERROR(__xludf.DUMMYFUNCTION("GOOGLEFINANCE($A$3,U2)"),"USD")</f>
        <v>USD</v>
      </c>
    </row>
    <row r="4" ht="15.75" customHeight="1">
      <c r="A4" s="3" t="s">
        <v>6</v>
      </c>
      <c r="B4" s="9" t="str">
        <f>IFERROR(__xludf.DUMMYFUNCTION("GOOGLEFINANCE($A$4,B2)"),"Microsoft Corp")</f>
        <v>Microsoft Corp</v>
      </c>
      <c r="C4" s="9">
        <f>IFERROR(__xludf.DUMMYFUNCTION("GOOGLEFINANCE($A$4,C2)"),407.77)</f>
        <v>407.77</v>
      </c>
      <c r="D4" s="9">
        <f>IFERROR(__xludf.DUMMYFUNCTION("GOOGLEFINANCE($A$4,D2)"),414.48)</f>
        <v>414.48</v>
      </c>
      <c r="E4" s="9">
        <f>IFERROR(__xludf.DUMMYFUNCTION("GOOGLEFINANCE($A$4,E2)"),415.5)</f>
        <v>415.5</v>
      </c>
      <c r="F4" s="9">
        <f>IFERROR(__xludf.DUMMYFUNCTION("GOOGLEFINANCE($A$4,F2)"),406.64)</f>
        <v>406.64</v>
      </c>
      <c r="G4" s="9">
        <f>IFERROR(__xludf.DUMMYFUNCTION("GOOGLEFINANCE($A$4,G2)"),3.8594221E7)</f>
        <v>38594221</v>
      </c>
      <c r="H4" s="9">
        <f>IFERROR(__xludf.DUMMYFUNCTION("GOOGLEFINANCE($A$4,H2)"),3.029092858338E12)</f>
        <v>3029092858338</v>
      </c>
      <c r="I4" s="14">
        <f>IFERROR(__xludf.DUMMYFUNCTION("GOOGLEFINANCE($A$4,I2)"),46154.66667824074)</f>
        <v>46154.66668</v>
      </c>
      <c r="J4" s="9">
        <f>IFERROR(__xludf.DUMMYFUNCTION("GOOGLEFINANCE($A$4,J2)"),0.0)</f>
        <v>0</v>
      </c>
      <c r="K4" s="9">
        <f>IFERROR(__xludf.DUMMYFUNCTION("GOOGLEFINANCE($A$4,K2)"),3.4199008E7)</f>
        <v>34199008</v>
      </c>
      <c r="L4" s="9">
        <f>IFERROR(__xludf.DUMMYFUNCTION("GOOGLEFINANCE($A$4,L2)"),24.29)</f>
        <v>24.29</v>
      </c>
      <c r="M4" s="9">
        <f>IFERROR(__xludf.DUMMYFUNCTION("GOOGLEFINANCE($A$4,M2)"),16.79)</f>
        <v>16.79</v>
      </c>
      <c r="N4" s="9">
        <f>IFERROR(__xludf.DUMMYFUNCTION("GOOGLEFINANCE($A$4,N2)"),555.45)</f>
        <v>555.45</v>
      </c>
      <c r="O4" s="9">
        <f>IFERROR(__xludf.DUMMYFUNCTION("GOOGLEFINANCE($A$4,O2)"),356.28)</f>
        <v>356.28</v>
      </c>
      <c r="P4" s="9">
        <f>IFERROR(__xludf.DUMMYFUNCTION("GOOGLEFINANCE($A$4,P2)"),-4.89)</f>
        <v>-4.89</v>
      </c>
      <c r="Q4" s="9">
        <f>IFERROR(__xludf.DUMMYFUNCTION("GOOGLEFINANCE($A$4,Q2)"),1.1)</f>
        <v>1.1</v>
      </c>
      <c r="R4" s="9">
        <f>IFERROR(__xludf.DUMMYFUNCTION("GOOGLEFINANCE($A$4,R2)"),-1.18)</f>
        <v>-1.18</v>
      </c>
      <c r="S4" s="9">
        <f>IFERROR(__xludf.DUMMYFUNCTION("GOOGLEFINANCE($A$4,S2)"),412.66)</f>
        <v>412.66</v>
      </c>
      <c r="T4" s="9">
        <f>IFERROR(__xludf.DUMMYFUNCTION("GOOGLEFINANCE($A$4,T2)"),7.428435E9)</f>
        <v>7428435000</v>
      </c>
      <c r="U4" s="9" t="str">
        <f>IFERROR(__xludf.DUMMYFUNCTION("GOOGLEFINANCE($A$4,U2)"),"USD")</f>
        <v>USD</v>
      </c>
    </row>
    <row r="5" ht="15.75" customHeight="1">
      <c r="A5" s="3" t="s">
        <v>7</v>
      </c>
      <c r="B5" s="9" t="str">
        <f>IFERROR(__xludf.DUMMYFUNCTION("GOOGLEFINANCE($A$5,B2)"),"Tesla Inc")</f>
        <v>Tesla Inc</v>
      </c>
      <c r="C5" s="9">
        <f>IFERROR(__xludf.DUMMYFUNCTION("GOOGLEFINANCE($A$5,C2)"),433.45)</f>
        <v>433.45</v>
      </c>
      <c r="D5" s="9">
        <f>IFERROR(__xludf.DUMMYFUNCTION("GOOGLEFINANCE($A$5,D2)"),441.41)</f>
        <v>441.41</v>
      </c>
      <c r="E5" s="9">
        <f>IFERROR(__xludf.DUMMYFUNCTION("GOOGLEFINANCE($A$5,E2)"),447.8)</f>
        <v>447.8</v>
      </c>
      <c r="F5" s="9">
        <f>IFERROR(__xludf.DUMMYFUNCTION("GOOGLEFINANCE($A$5,F2)"),422.26)</f>
        <v>422.26</v>
      </c>
      <c r="G5" s="9">
        <f>IFERROR(__xludf.DUMMYFUNCTION("GOOGLEFINANCE($A$5,G2)"),6.0569303E7)</f>
        <v>60569303</v>
      </c>
      <c r="H5" s="9">
        <f>IFERROR(__xludf.DUMMYFUNCTION("GOOGLEFINANCE($A$5,H2)"),1.35820260975E12)</f>
        <v>1358202609750</v>
      </c>
      <c r="I5" s="14">
        <f>IFERROR(__xludf.DUMMYFUNCTION("GOOGLEFINANCE($A$5,I2)"),46154.66666666667)</f>
        <v>46154.66667</v>
      </c>
      <c r="J5" s="9">
        <f>IFERROR(__xludf.DUMMYFUNCTION("GOOGLEFINANCE($A$5,J2)"),0.0)</f>
        <v>0</v>
      </c>
      <c r="K5" s="9">
        <f>IFERROR(__xludf.DUMMYFUNCTION("GOOGLEFINANCE($A$5,K2)"),6.6093648E7)</f>
        <v>66093648</v>
      </c>
      <c r="L5" s="9">
        <f>IFERROR(__xludf.DUMMYFUNCTION("GOOGLEFINANCE($A$5,L2)"),396.08)</f>
        <v>396.08</v>
      </c>
      <c r="M5" s="9">
        <f>IFERROR(__xludf.DUMMYFUNCTION("GOOGLEFINANCE($A$5,M2)"),1.09)</f>
        <v>1.09</v>
      </c>
      <c r="N5" s="9">
        <f>IFERROR(__xludf.DUMMYFUNCTION("GOOGLEFINANCE($A$5,N2)"),498.82)</f>
        <v>498.82</v>
      </c>
      <c r="O5" s="9">
        <f>IFERROR(__xludf.DUMMYFUNCTION("GOOGLEFINANCE($A$5,O2)"),273.21)</f>
        <v>273.21</v>
      </c>
      <c r="P5" s="9">
        <f>IFERROR(__xludf.DUMMYFUNCTION("GOOGLEFINANCE($A$5,P2)"),-11.63)</f>
        <v>-11.63</v>
      </c>
      <c r="Q5" s="9">
        <f>IFERROR(__xludf.DUMMYFUNCTION("GOOGLEFINANCE($A$5,Q2)"),1.79)</f>
        <v>1.79</v>
      </c>
      <c r="R5" s="9">
        <f>IFERROR(__xludf.DUMMYFUNCTION("GOOGLEFINANCE($A$5,R2)"),-2.61)</f>
        <v>-2.61</v>
      </c>
      <c r="S5" s="9">
        <f>IFERROR(__xludf.DUMMYFUNCTION("GOOGLEFINANCE($A$5,S2)"),445.08)</f>
        <v>445.08</v>
      </c>
      <c r="T5" s="9">
        <f>IFERROR(__xludf.DUMMYFUNCTION("GOOGLEFINANCE($A$5,T2)"),3.755724E9)</f>
        <v>3755724000</v>
      </c>
      <c r="U5" s="9" t="str">
        <f>IFERROR(__xludf.DUMMYFUNCTION("GOOGLEFINANCE($A$5,U2)"),"USD")</f>
        <v>USD</v>
      </c>
    </row>
    <row r="6" ht="15.75" customHeight="1">
      <c r="A6" s="3" t="s">
        <v>8</v>
      </c>
      <c r="B6" s="9" t="str">
        <f>IFERROR(__xludf.DUMMYFUNCTION("GOOGLEFINANCE($A$6,B2)"),"Apple Inc")</f>
        <v>Apple Inc</v>
      </c>
      <c r="C6" s="9">
        <f>IFERROR(__xludf.DUMMYFUNCTION("GOOGLEFINANCE($A$6,C2)"),294.8)</f>
        <v>294.8</v>
      </c>
      <c r="D6" s="9">
        <f>IFERROR(__xludf.DUMMYFUNCTION("GOOGLEFINANCE($A$6,D2)"),292.56)</f>
        <v>292.56</v>
      </c>
      <c r="E6" s="9">
        <f>IFERROR(__xludf.DUMMYFUNCTION("GOOGLEFINANCE($A$6,E2)"),295.27)</f>
        <v>295.27</v>
      </c>
      <c r="F6" s="9">
        <f>IFERROR(__xludf.DUMMYFUNCTION("GOOGLEFINANCE($A$6,F2)"),292.56)</f>
        <v>292.56</v>
      </c>
      <c r="G6" s="9">
        <f>IFERROR(__xludf.DUMMYFUNCTION("GOOGLEFINANCE($A$6,G2)"),4.5748129E7)</f>
        <v>45748129</v>
      </c>
      <c r="H6" s="9">
        <f>IFERROR(__xludf.DUMMYFUNCTION("GOOGLEFINANCE($A$6,H2)"),4.329830600711E12)</f>
        <v>4329830600711</v>
      </c>
      <c r="I6" s="14">
        <f>IFERROR(__xludf.DUMMYFUNCTION("GOOGLEFINANCE($A$6,I2)"),46154.66667824074)</f>
        <v>46154.66668</v>
      </c>
      <c r="J6" s="9">
        <f>IFERROR(__xludf.DUMMYFUNCTION("GOOGLEFINANCE($A$6,J2)"),0.0)</f>
        <v>0</v>
      </c>
      <c r="K6" s="9">
        <f>IFERROR(__xludf.DUMMYFUNCTION("GOOGLEFINANCE($A$6,K2)"),4.5699292E7)</f>
        <v>45699292</v>
      </c>
      <c r="L6" s="9">
        <f>IFERROR(__xludf.DUMMYFUNCTION("GOOGLEFINANCE($A$6,L2)"),35.66)</f>
        <v>35.66</v>
      </c>
      <c r="M6" s="9">
        <f>IFERROR(__xludf.DUMMYFUNCTION("GOOGLEFINANCE($A$6,M2)"),8.27)</f>
        <v>8.27</v>
      </c>
      <c r="N6" s="9">
        <f>IFERROR(__xludf.DUMMYFUNCTION("GOOGLEFINANCE($A$6,N2)"),295.27)</f>
        <v>295.27</v>
      </c>
      <c r="O6" s="9">
        <f>IFERROR(__xludf.DUMMYFUNCTION("GOOGLEFINANCE($A$6,O2)"),193.46)</f>
        <v>193.46</v>
      </c>
      <c r="P6" s="9">
        <f>IFERROR(__xludf.DUMMYFUNCTION("GOOGLEFINANCE($A$6,P2)"),2.12)</f>
        <v>2.12</v>
      </c>
      <c r="Q6" s="9">
        <f>IFERROR(__xludf.DUMMYFUNCTION("GOOGLEFINANCE($A$6,Q2)"),1.06)</f>
        <v>1.06</v>
      </c>
      <c r="R6" s="9">
        <f>IFERROR(__xludf.DUMMYFUNCTION("GOOGLEFINANCE($A$6,R2)"),0.72)</f>
        <v>0.72</v>
      </c>
      <c r="S6" s="9">
        <f>IFERROR(__xludf.DUMMYFUNCTION("GOOGLEFINANCE($A$6,S2)"),292.68)</f>
        <v>292.68</v>
      </c>
      <c r="T6" s="9">
        <f>IFERROR(__xludf.DUMMYFUNCTION("GOOGLEFINANCE($A$6,T2)"),1.468736E10)</f>
        <v>14687360000</v>
      </c>
      <c r="U6" s="9" t="str">
        <f>IFERROR(__xludf.DUMMYFUNCTION("GOOGLEFINANCE($A$6,U2)"),"USD")</f>
        <v>USD</v>
      </c>
    </row>
    <row r="7" ht="15.75" customHeight="1">
      <c r="A7" s="3"/>
    </row>
    <row r="8" ht="15.75" customHeight="1">
      <c r="A8" s="3"/>
    </row>
    <row r="9" ht="15.75" customHeight="1">
      <c r="A9" s="3"/>
    </row>
    <row r="10" ht="15.75" customHeight="1">
      <c r="A10" s="3"/>
    </row>
    <row r="11" ht="15.75" customHeight="1">
      <c r="A11" s="3"/>
    </row>
    <row r="12" ht="15.75" customHeight="1">
      <c r="A12" s="3"/>
    </row>
    <row r="13" ht="15.75" customHeight="1">
      <c r="A13" s="3"/>
    </row>
    <row r="14" ht="15.75" customHeight="1">
      <c r="A14" s="3"/>
    </row>
    <row r="15" ht="15.75" customHeight="1">
      <c r="A15" s="3"/>
    </row>
    <row r="16" ht="15.75" customHeight="1">
      <c r="A16" s="3"/>
    </row>
    <row r="17" ht="15.75" customHeight="1">
      <c r="A17" s="3"/>
    </row>
    <row r="18" ht="15.75" customHeight="1">
      <c r="A18" s="3"/>
    </row>
    <row r="19" ht="15.75" customHeight="1">
      <c r="A19" s="3"/>
    </row>
    <row r="20" ht="15.75" customHeight="1">
      <c r="A20" s="3"/>
    </row>
    <row r="21" ht="15.75" customHeight="1">
      <c r="A21" s="3"/>
    </row>
    <row r="22" ht="15.75" customHeight="1">
      <c r="A22" s="3"/>
    </row>
    <row r="23" ht="15.75" customHeight="1">
      <c r="A23" s="3"/>
    </row>
    <row r="24" ht="15.75" customHeight="1">
      <c r="A24" s="3"/>
    </row>
    <row r="25" ht="15.75" customHeight="1">
      <c r="A25" s="3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U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5.5"/>
    <col customWidth="1" min="3" max="3" width="17.13"/>
    <col customWidth="1" min="4" max="4" width="13.63"/>
    <col customWidth="1" min="5" max="5" width="12.88"/>
    <col customWidth="1" min="6" max="6" width="12.63"/>
  </cols>
  <sheetData>
    <row r="1" ht="15.75" customHeight="1">
      <c r="A1" s="13" t="s">
        <v>31</v>
      </c>
      <c r="F1" s="15" t="s">
        <v>32</v>
      </c>
    </row>
    <row r="2" ht="15.75" customHeight="1">
      <c r="A2" s="16" t="s">
        <v>33</v>
      </c>
      <c r="B2" s="17" t="str">
        <f>Dados!A2</f>
        <v>Coca-Cola Co</v>
      </c>
      <c r="C2" s="17" t="str">
        <f>Dados!C2</f>
        <v>Microsoft Corp</v>
      </c>
      <c r="D2" s="17" t="str">
        <f>Dados!E2</f>
        <v>Tesla Inc</v>
      </c>
      <c r="E2" s="16" t="str">
        <f>Dados!G2</f>
        <v>Apple Inc</v>
      </c>
      <c r="F2" s="18" t="s">
        <v>34</v>
      </c>
      <c r="G2" s="18" t="s">
        <v>35</v>
      </c>
      <c r="H2" s="18" t="s">
        <v>36</v>
      </c>
      <c r="I2" s="18" t="s">
        <v>37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75" customHeight="1">
      <c r="A3" s="10">
        <f>Dados!A5</f>
        <v>43832.66667</v>
      </c>
      <c r="B3" s="19">
        <f>Dados!B5</f>
        <v>54.99</v>
      </c>
      <c r="C3" s="19">
        <f>Dados!D5</f>
        <v>160.62</v>
      </c>
      <c r="D3" s="19">
        <f>Dados!F5</f>
        <v>28.68</v>
      </c>
      <c r="E3" s="19">
        <f>Dados!H5</f>
        <v>75.09</v>
      </c>
      <c r="F3" s="20">
        <f t="shared" ref="F3:I3" si="1">STANDARDIZE(B3,$L$7,$L$8)</f>
        <v>0.6083769634</v>
      </c>
      <c r="G3" s="20">
        <f t="shared" si="1"/>
        <v>4.295287958</v>
      </c>
      <c r="H3" s="20">
        <f t="shared" si="1"/>
        <v>-0.309947644</v>
      </c>
      <c r="I3" s="20">
        <f t="shared" si="1"/>
        <v>1.309947644</v>
      </c>
    </row>
    <row r="4" ht="15.75" customHeight="1">
      <c r="A4" s="10">
        <f>Dados!A6</f>
        <v>43833.66667</v>
      </c>
      <c r="B4" s="19">
        <f>Dados!B6</f>
        <v>54.69</v>
      </c>
      <c r="C4" s="19">
        <f>Dados!D6</f>
        <v>158.62</v>
      </c>
      <c r="D4" s="19">
        <f>Dados!F6</f>
        <v>29.53</v>
      </c>
      <c r="E4" s="19">
        <f>Dados!H6</f>
        <v>74.36</v>
      </c>
      <c r="F4" s="20">
        <f t="shared" ref="F4:I4" si="2">STANDARDIZE(B4,$L$7,$L$8)</f>
        <v>0.5979057592</v>
      </c>
      <c r="G4" s="20">
        <f t="shared" si="2"/>
        <v>4.22547993</v>
      </c>
      <c r="H4" s="20">
        <f t="shared" si="2"/>
        <v>-0.2802792321</v>
      </c>
      <c r="I4" s="20">
        <f t="shared" si="2"/>
        <v>1.284467714</v>
      </c>
    </row>
    <row r="5" ht="15.75" customHeight="1">
      <c r="A5" s="10">
        <f>Dados!A7</f>
        <v>43836.66667</v>
      </c>
      <c r="B5" s="19">
        <f>Dados!B7</f>
        <v>54.67</v>
      </c>
      <c r="C5" s="19">
        <f>Dados!D7</f>
        <v>159.03</v>
      </c>
      <c r="D5" s="19">
        <f>Dados!F7</f>
        <v>30.1</v>
      </c>
      <c r="E5" s="19">
        <f>Dados!H7</f>
        <v>74.95</v>
      </c>
      <c r="F5" s="20">
        <f t="shared" ref="F5:I5" si="3">STANDARDIZE(B5,$L$7,$L$8)</f>
        <v>0.5972076789</v>
      </c>
      <c r="G5" s="20">
        <f t="shared" si="3"/>
        <v>4.239790576</v>
      </c>
      <c r="H5" s="20">
        <f t="shared" si="3"/>
        <v>-0.2603839442</v>
      </c>
      <c r="I5" s="20">
        <f t="shared" si="3"/>
        <v>1.305061082</v>
      </c>
    </row>
    <row r="6" ht="15.75" customHeight="1">
      <c r="A6" s="10">
        <f>Dados!A8</f>
        <v>43837.66667</v>
      </c>
      <c r="B6" s="19">
        <f>Dados!B8</f>
        <v>54.25</v>
      </c>
      <c r="C6" s="19">
        <f>Dados!D8</f>
        <v>157.58</v>
      </c>
      <c r="D6" s="19">
        <f>Dados!F8</f>
        <v>31.27</v>
      </c>
      <c r="E6" s="19">
        <f>Dados!H8</f>
        <v>74.6</v>
      </c>
      <c r="F6" s="20">
        <f t="shared" ref="F6:I6" si="4">STANDARDIZE(B6,$L$7,$L$8)</f>
        <v>0.582547993</v>
      </c>
      <c r="G6" s="20">
        <f t="shared" si="4"/>
        <v>4.189179756</v>
      </c>
      <c r="H6" s="20">
        <f t="shared" si="4"/>
        <v>-0.2195462478</v>
      </c>
      <c r="I6" s="20">
        <f t="shared" si="4"/>
        <v>1.292844677</v>
      </c>
      <c r="K6" s="21" t="s">
        <v>38</v>
      </c>
      <c r="L6" s="11">
        <f>MAX(B:B)</f>
        <v>66.21</v>
      </c>
    </row>
    <row r="7" ht="15.75" customHeight="1">
      <c r="A7" s="10">
        <f>Dados!A9</f>
        <v>43838.66667</v>
      </c>
      <c r="B7" s="19">
        <f>Dados!B9</f>
        <v>54.35</v>
      </c>
      <c r="C7" s="19">
        <f>Dados!D9</f>
        <v>160.09</v>
      </c>
      <c r="D7" s="19">
        <f>Dados!F9</f>
        <v>32.81</v>
      </c>
      <c r="E7" s="19">
        <f>Dados!H9</f>
        <v>75.8</v>
      </c>
      <c r="F7" s="20">
        <f t="shared" ref="F7:I7" si="5">STANDARDIZE(B7,$L$7,$L$8)</f>
        <v>0.5860383944</v>
      </c>
      <c r="G7" s="20">
        <f t="shared" si="5"/>
        <v>4.276788831</v>
      </c>
      <c r="H7" s="20">
        <f t="shared" si="5"/>
        <v>-0.1657940663</v>
      </c>
      <c r="I7" s="20">
        <f t="shared" si="5"/>
        <v>1.334729494</v>
      </c>
      <c r="K7" s="21" t="s">
        <v>39</v>
      </c>
      <c r="L7" s="11">
        <f>MIN(B:B)</f>
        <v>37.56</v>
      </c>
    </row>
    <row r="8" ht="15.75" customHeight="1">
      <c r="A8" s="10">
        <f>Dados!A10</f>
        <v>43839.66667</v>
      </c>
      <c r="B8" s="19">
        <f>Dados!B10</f>
        <v>55.34</v>
      </c>
      <c r="C8" s="19">
        <f>Dados!D10</f>
        <v>162.09</v>
      </c>
      <c r="D8" s="19">
        <f>Dados!F10</f>
        <v>32.09</v>
      </c>
      <c r="E8" s="19">
        <f>Dados!H10</f>
        <v>77.41</v>
      </c>
      <c r="F8" s="20">
        <f t="shared" ref="F8:I8" si="6">STANDARDIZE(B8,$L$7,$L$8)</f>
        <v>0.6205933682</v>
      </c>
      <c r="G8" s="20">
        <f t="shared" si="6"/>
        <v>4.346596859</v>
      </c>
      <c r="H8" s="20">
        <f t="shared" si="6"/>
        <v>-0.1909249564</v>
      </c>
      <c r="I8" s="20">
        <f t="shared" si="6"/>
        <v>1.390924956</v>
      </c>
      <c r="K8" s="21" t="s">
        <v>40</v>
      </c>
      <c r="L8" s="11">
        <f>L6-L7</f>
        <v>28.65</v>
      </c>
    </row>
    <row r="9" ht="15.75" customHeight="1">
      <c r="A9" s="10">
        <f>Dados!A11</f>
        <v>43840.66667</v>
      </c>
      <c r="B9" s="19">
        <f>Dados!B11</f>
        <v>55.53</v>
      </c>
      <c r="C9" s="19">
        <f>Dados!D11</f>
        <v>161.34</v>
      </c>
      <c r="D9" s="19">
        <f>Dados!F11</f>
        <v>31.88</v>
      </c>
      <c r="E9" s="19">
        <f>Dados!H11</f>
        <v>77.58</v>
      </c>
      <c r="F9" s="20">
        <f t="shared" ref="F9:I9" si="7">STANDARDIZE(B9,$L$7,$L$8)</f>
        <v>0.6272251309</v>
      </c>
      <c r="G9" s="20">
        <f t="shared" si="7"/>
        <v>4.320418848</v>
      </c>
      <c r="H9" s="20">
        <f t="shared" si="7"/>
        <v>-0.1982547993</v>
      </c>
      <c r="I9" s="20">
        <f t="shared" si="7"/>
        <v>1.396858639</v>
      </c>
    </row>
    <row r="10" ht="15.75" customHeight="1">
      <c r="A10" s="10">
        <f>Dados!A12</f>
        <v>43843.66667</v>
      </c>
      <c r="B10" s="19">
        <f>Dados!B12</f>
        <v>56.13</v>
      </c>
      <c r="C10" s="19">
        <f>Dados!D12</f>
        <v>163.28</v>
      </c>
      <c r="D10" s="19">
        <f>Dados!F12</f>
        <v>34.99</v>
      </c>
      <c r="E10" s="19">
        <f>Dados!H12</f>
        <v>79.24</v>
      </c>
      <c r="F10" s="20">
        <f t="shared" ref="F10:I10" si="8">STANDARDIZE(B10,$L$7,$L$8)</f>
        <v>0.6481675393</v>
      </c>
      <c r="G10" s="20">
        <f t="shared" si="8"/>
        <v>4.388132635</v>
      </c>
      <c r="H10" s="20">
        <f t="shared" si="8"/>
        <v>-0.08970331588</v>
      </c>
      <c r="I10" s="20">
        <f t="shared" si="8"/>
        <v>1.454799302</v>
      </c>
    </row>
    <row r="11" ht="15.75" customHeight="1">
      <c r="A11" s="10">
        <f>Dados!A13</f>
        <v>43844.66667</v>
      </c>
      <c r="B11" s="19">
        <f>Dados!B13</f>
        <v>56</v>
      </c>
      <c r="C11" s="19">
        <f>Dados!D13</f>
        <v>162.13</v>
      </c>
      <c r="D11" s="19">
        <f>Dados!F13</f>
        <v>35.86</v>
      </c>
      <c r="E11" s="19">
        <f>Dados!H13</f>
        <v>78.17</v>
      </c>
      <c r="F11" s="20">
        <f t="shared" ref="F11:I11" si="9">STANDARDIZE(B11,$L$7,$L$8)</f>
        <v>0.6436300175</v>
      </c>
      <c r="G11" s="20">
        <f t="shared" si="9"/>
        <v>4.347993019</v>
      </c>
      <c r="H11" s="20">
        <f t="shared" si="9"/>
        <v>-0.05933682373</v>
      </c>
      <c r="I11" s="20">
        <f t="shared" si="9"/>
        <v>1.417452007</v>
      </c>
    </row>
    <row r="12" ht="15.75" customHeight="1">
      <c r="A12" s="10">
        <f>Dados!A14</f>
        <v>43845.66667</v>
      </c>
      <c r="B12" s="19">
        <f>Dados!B14</f>
        <v>56.7</v>
      </c>
      <c r="C12" s="19">
        <f>Dados!D14</f>
        <v>163.18</v>
      </c>
      <c r="D12" s="19">
        <f>Dados!F14</f>
        <v>34.57</v>
      </c>
      <c r="E12" s="19">
        <f>Dados!H14</f>
        <v>77.83</v>
      </c>
      <c r="F12" s="20">
        <f t="shared" ref="F12:I12" si="10">STANDARDIZE(B12,$L$7,$L$8)</f>
        <v>0.6680628272</v>
      </c>
      <c r="G12" s="20">
        <f t="shared" si="10"/>
        <v>4.384642234</v>
      </c>
      <c r="H12" s="20">
        <f t="shared" si="10"/>
        <v>-0.1043630017</v>
      </c>
      <c r="I12" s="20">
        <f t="shared" si="10"/>
        <v>1.405584642</v>
      </c>
    </row>
    <row r="13" ht="15.75" customHeight="1">
      <c r="A13" s="10">
        <f>Dados!A15</f>
        <v>43846.66667</v>
      </c>
      <c r="B13" s="19">
        <f>Dados!B15</f>
        <v>56.82</v>
      </c>
      <c r="C13" s="19">
        <f>Dados!D15</f>
        <v>166.17</v>
      </c>
      <c r="D13" s="19">
        <f>Dados!F15</f>
        <v>34.23</v>
      </c>
      <c r="E13" s="19">
        <f>Dados!H15</f>
        <v>78.81</v>
      </c>
      <c r="F13" s="20">
        <f t="shared" ref="F13:I13" si="11">STANDARDIZE(B13,$L$7,$L$8)</f>
        <v>0.6722513089</v>
      </c>
      <c r="G13" s="20">
        <f t="shared" si="11"/>
        <v>4.489005236</v>
      </c>
      <c r="H13" s="20">
        <f t="shared" si="11"/>
        <v>-0.1162303665</v>
      </c>
      <c r="I13" s="20">
        <f t="shared" si="11"/>
        <v>1.439790576</v>
      </c>
    </row>
    <row r="14" ht="15.75" customHeight="1">
      <c r="A14" s="10">
        <f>Dados!A16</f>
        <v>43847.66667</v>
      </c>
      <c r="B14" s="19">
        <f>Dados!B16</f>
        <v>56.94</v>
      </c>
      <c r="C14" s="19">
        <f>Dados!D16</f>
        <v>167.1</v>
      </c>
      <c r="D14" s="19">
        <f>Dados!F16</f>
        <v>34.03</v>
      </c>
      <c r="E14" s="19">
        <f>Dados!H16</f>
        <v>79.68</v>
      </c>
      <c r="F14" s="20">
        <f t="shared" ref="F14:I14" si="12">STANDARDIZE(B14,$L$7,$L$8)</f>
        <v>0.6764397906</v>
      </c>
      <c r="G14" s="20">
        <f t="shared" si="12"/>
        <v>4.521465969</v>
      </c>
      <c r="H14" s="20">
        <f t="shared" si="12"/>
        <v>-0.1232111693</v>
      </c>
      <c r="I14" s="20">
        <f t="shared" si="12"/>
        <v>1.470157068</v>
      </c>
    </row>
    <row r="15" ht="15.75" customHeight="1">
      <c r="A15" s="10">
        <f>Dados!A17</f>
        <v>43851.66667</v>
      </c>
      <c r="B15" s="19">
        <f>Dados!B17</f>
        <v>57.17</v>
      </c>
      <c r="C15" s="19">
        <f>Dados!D17</f>
        <v>166.5</v>
      </c>
      <c r="D15" s="19">
        <f>Dados!F17</f>
        <v>36.48</v>
      </c>
      <c r="E15" s="19">
        <f>Dados!H17</f>
        <v>79.14</v>
      </c>
      <c r="F15" s="20">
        <f t="shared" ref="F15:I15" si="13">STANDARDIZE(B15,$L$7,$L$8)</f>
        <v>0.6844677138</v>
      </c>
      <c r="G15" s="20">
        <f t="shared" si="13"/>
        <v>4.50052356</v>
      </c>
      <c r="H15" s="20">
        <f t="shared" si="13"/>
        <v>-0.03769633508</v>
      </c>
      <c r="I15" s="20">
        <f t="shared" si="13"/>
        <v>1.451308901</v>
      </c>
    </row>
    <row r="16" ht="15.75" customHeight="1">
      <c r="A16" s="10">
        <f>Dados!A18</f>
        <v>43852.66667</v>
      </c>
      <c r="B16" s="19">
        <f>Dados!B18</f>
        <v>57.61</v>
      </c>
      <c r="C16" s="19">
        <f>Dados!D18</f>
        <v>165.7</v>
      </c>
      <c r="D16" s="19">
        <f>Dados!F18</f>
        <v>37.97</v>
      </c>
      <c r="E16" s="19">
        <f>Dados!H18</f>
        <v>79.43</v>
      </c>
      <c r="F16" s="20">
        <f t="shared" ref="F16:I16" si="14">STANDARDIZE(B16,$L$7,$L$8)</f>
        <v>0.6998254799</v>
      </c>
      <c r="G16" s="20">
        <f t="shared" si="14"/>
        <v>4.472600349</v>
      </c>
      <c r="H16" s="20">
        <f t="shared" si="14"/>
        <v>0.01431064572</v>
      </c>
      <c r="I16" s="20">
        <f t="shared" si="14"/>
        <v>1.461431065</v>
      </c>
    </row>
    <row r="17" ht="15.75" customHeight="1">
      <c r="A17" s="10">
        <f>Dados!A19</f>
        <v>43853.66667</v>
      </c>
      <c r="B17" s="19">
        <f>Dados!B19</f>
        <v>57.83</v>
      </c>
      <c r="C17" s="19">
        <f>Dados!D19</f>
        <v>166.72</v>
      </c>
      <c r="D17" s="19">
        <f>Dados!F19</f>
        <v>38.15</v>
      </c>
      <c r="E17" s="19">
        <f>Dados!H19</f>
        <v>79.81</v>
      </c>
      <c r="F17" s="20">
        <f t="shared" ref="F17:I17" si="15">STANDARDIZE(B17,$L$7,$L$8)</f>
        <v>0.707504363</v>
      </c>
      <c r="G17" s="20">
        <f t="shared" si="15"/>
        <v>4.508202443</v>
      </c>
      <c r="H17" s="20">
        <f t="shared" si="15"/>
        <v>0.02059336824</v>
      </c>
      <c r="I17" s="20">
        <f t="shared" si="15"/>
        <v>1.47469459</v>
      </c>
    </row>
    <row r="18" ht="15.75" customHeight="1">
      <c r="A18" s="10">
        <f>Dados!A20</f>
        <v>43854.66667</v>
      </c>
      <c r="B18" s="19">
        <f>Dados!B20</f>
        <v>57.68</v>
      </c>
      <c r="C18" s="19">
        <f>Dados!D20</f>
        <v>165.04</v>
      </c>
      <c r="D18" s="19">
        <f>Dados!F20</f>
        <v>37.65</v>
      </c>
      <c r="E18" s="19">
        <f>Dados!H20</f>
        <v>79.58</v>
      </c>
      <c r="F18" s="20">
        <f t="shared" ref="F18:I18" si="16">STANDARDIZE(B18,$L$7,$L$8)</f>
        <v>0.7022687609</v>
      </c>
      <c r="G18" s="20">
        <f t="shared" si="16"/>
        <v>4.4495637</v>
      </c>
      <c r="H18" s="20">
        <f t="shared" si="16"/>
        <v>0.003141361257</v>
      </c>
      <c r="I18" s="20">
        <f t="shared" si="16"/>
        <v>1.466666667</v>
      </c>
    </row>
    <row r="19" ht="15.75" customHeight="1">
      <c r="A19" s="10">
        <f>Dados!A21</f>
        <v>43857.66667</v>
      </c>
      <c r="B19" s="19">
        <f>Dados!B21</f>
        <v>57.48</v>
      </c>
      <c r="C19" s="19">
        <f>Dados!D21</f>
        <v>162.28</v>
      </c>
      <c r="D19" s="19">
        <f>Dados!F21</f>
        <v>37.2</v>
      </c>
      <c r="E19" s="19">
        <f>Dados!H21</f>
        <v>77.24</v>
      </c>
      <c r="F19" s="20">
        <f t="shared" ref="F19:I19" si="17">STANDARDIZE(B19,$L$7,$L$8)</f>
        <v>0.6952879581</v>
      </c>
      <c r="G19" s="20">
        <f t="shared" si="17"/>
        <v>4.353228621</v>
      </c>
      <c r="H19" s="20">
        <f t="shared" si="17"/>
        <v>-0.01256544503</v>
      </c>
      <c r="I19" s="20">
        <f t="shared" si="17"/>
        <v>1.384991274</v>
      </c>
    </row>
    <row r="20" ht="15.75" customHeight="1">
      <c r="A20" s="10">
        <f>Dados!A22</f>
        <v>43858.66667</v>
      </c>
      <c r="B20" s="19">
        <f>Dados!B22</f>
        <v>57.01</v>
      </c>
      <c r="C20" s="19">
        <f>Dados!D22</f>
        <v>165.46</v>
      </c>
      <c r="D20" s="19">
        <f>Dados!F22</f>
        <v>37.79</v>
      </c>
      <c r="E20" s="19">
        <f>Dados!H22</f>
        <v>79.42</v>
      </c>
      <c r="F20" s="20">
        <f t="shared" ref="F20:I20" si="18">STANDARDIZE(B20,$L$7,$L$8)</f>
        <v>0.6788830716</v>
      </c>
      <c r="G20" s="20">
        <f t="shared" si="18"/>
        <v>4.464223386</v>
      </c>
      <c r="H20" s="20">
        <f t="shared" si="18"/>
        <v>0.008027923211</v>
      </c>
      <c r="I20" s="20">
        <f t="shared" si="18"/>
        <v>1.461082024</v>
      </c>
    </row>
    <row r="21" ht="15.75" customHeight="1">
      <c r="A21" s="10">
        <f>Dados!A23</f>
        <v>43859.66667</v>
      </c>
      <c r="B21" s="19">
        <f>Dados!B23</f>
        <v>57.01</v>
      </c>
      <c r="C21" s="19">
        <f>Dados!D23</f>
        <v>168.04</v>
      </c>
      <c r="D21" s="19">
        <f>Dados!F23</f>
        <v>38.73</v>
      </c>
      <c r="E21" s="19">
        <f>Dados!H23</f>
        <v>81.08</v>
      </c>
      <c r="F21" s="20">
        <f t="shared" ref="F21:I21" si="19">STANDARDIZE(B21,$L$7,$L$8)</f>
        <v>0.6788830716</v>
      </c>
      <c r="G21" s="20">
        <f t="shared" si="19"/>
        <v>4.554275742</v>
      </c>
      <c r="H21" s="20">
        <f t="shared" si="19"/>
        <v>0.04083769634</v>
      </c>
      <c r="I21" s="20">
        <f t="shared" si="19"/>
        <v>1.519022688</v>
      </c>
    </row>
    <row r="22" ht="15.75" customHeight="1">
      <c r="A22" s="10">
        <f>Dados!A24</f>
        <v>43860.66667</v>
      </c>
      <c r="B22" s="19">
        <f>Dados!B24</f>
        <v>58.86</v>
      </c>
      <c r="C22" s="19">
        <f>Dados!D24</f>
        <v>172.78</v>
      </c>
      <c r="D22" s="19">
        <f>Dados!F24</f>
        <v>42.72</v>
      </c>
      <c r="E22" s="19">
        <f>Dados!H24</f>
        <v>80.97</v>
      </c>
      <c r="F22" s="20">
        <f t="shared" ref="F22:I22" si="20">STANDARDIZE(B22,$L$7,$L$8)</f>
        <v>0.7434554974</v>
      </c>
      <c r="G22" s="20">
        <f t="shared" si="20"/>
        <v>4.719720768</v>
      </c>
      <c r="H22" s="20">
        <f t="shared" si="20"/>
        <v>0.180104712</v>
      </c>
      <c r="I22" s="20">
        <f t="shared" si="20"/>
        <v>1.515183246</v>
      </c>
    </row>
    <row r="23" ht="15.75" customHeight="1">
      <c r="A23" s="10">
        <f>Dados!A25</f>
        <v>43861.66667</v>
      </c>
      <c r="B23" s="19">
        <f>Dados!B25</f>
        <v>58.4</v>
      </c>
      <c r="C23" s="19">
        <f>Dados!D25</f>
        <v>170.23</v>
      </c>
      <c r="D23" s="19">
        <f>Dados!F25</f>
        <v>43.37</v>
      </c>
      <c r="E23" s="19">
        <f>Dados!H25</f>
        <v>77.38</v>
      </c>
      <c r="F23" s="20">
        <f t="shared" ref="F23:I23" si="21">STANDARDIZE(B23,$L$7,$L$8)</f>
        <v>0.727399651</v>
      </c>
      <c r="G23" s="20">
        <f t="shared" si="21"/>
        <v>4.630715532</v>
      </c>
      <c r="H23" s="20">
        <f t="shared" si="21"/>
        <v>0.2027923211</v>
      </c>
      <c r="I23" s="20">
        <f t="shared" si="21"/>
        <v>1.389877836</v>
      </c>
    </row>
    <row r="24" ht="15.75" customHeight="1">
      <c r="A24" s="10">
        <f>Dados!A26</f>
        <v>43864.66667</v>
      </c>
      <c r="B24" s="19">
        <f>Dados!B26</f>
        <v>58.58</v>
      </c>
      <c r="C24" s="19">
        <f>Dados!D26</f>
        <v>174.38</v>
      </c>
      <c r="D24" s="19">
        <f>Dados!F26</f>
        <v>52</v>
      </c>
      <c r="E24" s="19">
        <f>Dados!H26</f>
        <v>77.17</v>
      </c>
      <c r="F24" s="20">
        <f t="shared" ref="F24:I24" si="22">STANDARDIZE(B24,$L$7,$L$8)</f>
        <v>0.7336823735</v>
      </c>
      <c r="G24" s="20">
        <f t="shared" si="22"/>
        <v>4.77556719</v>
      </c>
      <c r="H24" s="20">
        <f t="shared" si="22"/>
        <v>0.5040139616</v>
      </c>
      <c r="I24" s="20">
        <f t="shared" si="22"/>
        <v>1.382547993</v>
      </c>
    </row>
    <row r="25" ht="15.75" customHeight="1">
      <c r="A25" s="10">
        <f>Dados!A27</f>
        <v>43865.66667</v>
      </c>
      <c r="B25" s="19">
        <f>Dados!B27</f>
        <v>58.84</v>
      </c>
      <c r="C25" s="19">
        <f>Dados!D27</f>
        <v>180.12</v>
      </c>
      <c r="D25" s="19">
        <f>Dados!F27</f>
        <v>59.14</v>
      </c>
      <c r="E25" s="19">
        <f>Dados!H27</f>
        <v>79.71</v>
      </c>
      <c r="F25" s="20">
        <f t="shared" ref="F25:I25" si="23">STANDARDIZE(B25,$L$7,$L$8)</f>
        <v>0.7427574171</v>
      </c>
      <c r="G25" s="20">
        <f t="shared" si="23"/>
        <v>4.97591623</v>
      </c>
      <c r="H25" s="20">
        <f t="shared" si="23"/>
        <v>0.7532286213</v>
      </c>
      <c r="I25" s="20">
        <f t="shared" si="23"/>
        <v>1.471204188</v>
      </c>
    </row>
    <row r="26" ht="15.75" customHeight="1">
      <c r="A26" s="10">
        <f>Dados!A28</f>
        <v>43866.66667</v>
      </c>
      <c r="B26" s="19">
        <f>Dados!B28</f>
        <v>58.85</v>
      </c>
      <c r="C26" s="19">
        <f>Dados!D28</f>
        <v>179.9</v>
      </c>
      <c r="D26" s="19">
        <f>Dados!F28</f>
        <v>48.98</v>
      </c>
      <c r="E26" s="19">
        <f>Dados!H28</f>
        <v>80.36</v>
      </c>
      <c r="F26" s="20">
        <f t="shared" ref="F26:I26" si="24">STANDARDIZE(B26,$L$7,$L$8)</f>
        <v>0.7431064572</v>
      </c>
      <c r="G26" s="20">
        <f t="shared" si="24"/>
        <v>4.968237347</v>
      </c>
      <c r="H26" s="20">
        <f t="shared" si="24"/>
        <v>0.3986038394</v>
      </c>
      <c r="I26" s="20">
        <f t="shared" si="24"/>
        <v>1.493891798</v>
      </c>
    </row>
    <row r="27" ht="15.75" customHeight="1">
      <c r="A27" s="10">
        <f>Dados!A29</f>
        <v>43867.66667</v>
      </c>
      <c r="B27" s="19">
        <f>Dados!B29</f>
        <v>58.99</v>
      </c>
      <c r="C27" s="19">
        <f>Dados!D29</f>
        <v>183.63</v>
      </c>
      <c r="D27" s="19">
        <f>Dados!F29</f>
        <v>49.93</v>
      </c>
      <c r="E27" s="19">
        <f>Dados!H29</f>
        <v>81.3</v>
      </c>
      <c r="F27" s="20">
        <f t="shared" ref="F27:I27" si="25">STANDARDIZE(B27,$L$7,$L$8)</f>
        <v>0.7479930192</v>
      </c>
      <c r="G27" s="20">
        <f t="shared" si="25"/>
        <v>5.098429319</v>
      </c>
      <c r="H27" s="20">
        <f t="shared" si="25"/>
        <v>0.4317626527</v>
      </c>
      <c r="I27" s="20">
        <f t="shared" si="25"/>
        <v>1.526701571</v>
      </c>
    </row>
    <row r="28" ht="15.75" customHeight="1">
      <c r="A28" s="10">
        <f>Dados!A30</f>
        <v>43868.66667</v>
      </c>
      <c r="B28" s="19">
        <f>Dados!B30</f>
        <v>59.19</v>
      </c>
      <c r="C28" s="19">
        <f>Dados!D30</f>
        <v>183.89</v>
      </c>
      <c r="D28" s="19">
        <f>Dados!F30</f>
        <v>49.87</v>
      </c>
      <c r="E28" s="19">
        <f>Dados!H30</f>
        <v>80.01</v>
      </c>
      <c r="F28" s="20">
        <f t="shared" ref="F28:I28" si="26">STANDARDIZE(B28,$L$7,$L$8)</f>
        <v>0.754973822</v>
      </c>
      <c r="G28" s="20">
        <f t="shared" si="26"/>
        <v>5.107504363</v>
      </c>
      <c r="H28" s="20">
        <f t="shared" si="26"/>
        <v>0.4296684119</v>
      </c>
      <c r="I28" s="20">
        <f t="shared" si="26"/>
        <v>1.481675393</v>
      </c>
    </row>
    <row r="29" ht="15.75" customHeight="1">
      <c r="A29" s="10">
        <f>Dados!A31</f>
        <v>43871.66667</v>
      </c>
      <c r="B29" s="19">
        <f>Dados!B31</f>
        <v>59.75</v>
      </c>
      <c r="C29" s="19">
        <f>Dados!D31</f>
        <v>188.7</v>
      </c>
      <c r="D29" s="19">
        <f>Dados!F31</f>
        <v>51.42</v>
      </c>
      <c r="E29" s="19">
        <f>Dados!H31</f>
        <v>80.39</v>
      </c>
      <c r="F29" s="20">
        <f t="shared" ref="F29:I29" si="27">STANDARDIZE(B29,$L$7,$L$8)</f>
        <v>0.7745200698</v>
      </c>
      <c r="G29" s="20">
        <f t="shared" si="27"/>
        <v>5.27539267</v>
      </c>
      <c r="H29" s="20">
        <f t="shared" si="27"/>
        <v>0.4837696335</v>
      </c>
      <c r="I29" s="20">
        <f t="shared" si="27"/>
        <v>1.494938918</v>
      </c>
    </row>
    <row r="30" ht="15.75" customHeight="1">
      <c r="A30" s="10">
        <f>Dados!A32</f>
        <v>43872.66667</v>
      </c>
      <c r="B30" s="19">
        <f>Dados!B32</f>
        <v>59.59</v>
      </c>
      <c r="C30" s="19">
        <f>Dados!D32</f>
        <v>184.44</v>
      </c>
      <c r="D30" s="19">
        <f>Dados!F32</f>
        <v>51.63</v>
      </c>
      <c r="E30" s="19">
        <f>Dados!H32</f>
        <v>79.9</v>
      </c>
      <c r="F30" s="20">
        <f t="shared" ref="F30:I30" si="28">STANDARDIZE(B30,$L$7,$L$8)</f>
        <v>0.7689354276</v>
      </c>
      <c r="G30" s="20">
        <f t="shared" si="28"/>
        <v>5.126701571</v>
      </c>
      <c r="H30" s="20">
        <f t="shared" si="28"/>
        <v>0.4910994764</v>
      </c>
      <c r="I30" s="20">
        <f t="shared" si="28"/>
        <v>1.477835951</v>
      </c>
    </row>
    <row r="31" ht="15.75" customHeight="1">
      <c r="A31" s="10">
        <f>Dados!A33</f>
        <v>43873.66667</v>
      </c>
      <c r="B31" s="19">
        <f>Dados!B33</f>
        <v>59.41</v>
      </c>
      <c r="C31" s="19">
        <f>Dados!D33</f>
        <v>184.71</v>
      </c>
      <c r="D31" s="19">
        <f>Dados!F33</f>
        <v>51.15</v>
      </c>
      <c r="E31" s="19">
        <f>Dados!H33</f>
        <v>81.8</v>
      </c>
      <c r="F31" s="20">
        <f t="shared" ref="F31:I31" si="29">STANDARDIZE(B31,$L$7,$L$8)</f>
        <v>0.7626527051</v>
      </c>
      <c r="G31" s="20">
        <f t="shared" si="29"/>
        <v>5.136125654</v>
      </c>
      <c r="H31" s="20">
        <f t="shared" si="29"/>
        <v>0.4743455497</v>
      </c>
      <c r="I31" s="20">
        <f t="shared" si="29"/>
        <v>1.544153578</v>
      </c>
    </row>
    <row r="32" ht="15.75" customHeight="1">
      <c r="A32" s="10">
        <f>Dados!A34</f>
        <v>43874.66667</v>
      </c>
      <c r="B32" s="19">
        <f>Dados!B34</f>
        <v>59.61</v>
      </c>
      <c r="C32" s="19">
        <f>Dados!D34</f>
        <v>183.71</v>
      </c>
      <c r="D32" s="19">
        <f>Dados!F34</f>
        <v>53.6</v>
      </c>
      <c r="E32" s="19">
        <f>Dados!H34</f>
        <v>81.22</v>
      </c>
      <c r="F32" s="20">
        <f t="shared" ref="F32:I32" si="30">STANDARDIZE(B32,$L$7,$L$8)</f>
        <v>0.7696335079</v>
      </c>
      <c r="G32" s="20">
        <f t="shared" si="30"/>
        <v>5.10122164</v>
      </c>
      <c r="H32" s="20">
        <f t="shared" si="30"/>
        <v>0.5598603839</v>
      </c>
      <c r="I32" s="20">
        <f t="shared" si="30"/>
        <v>1.52390925</v>
      </c>
    </row>
    <row r="33" ht="15.75" customHeight="1">
      <c r="A33" s="10">
        <f>Dados!A35</f>
        <v>43875.66667</v>
      </c>
      <c r="B33" s="19">
        <f>Dados!B35</f>
        <v>59.95</v>
      </c>
      <c r="C33" s="19">
        <f>Dados!D35</f>
        <v>185.35</v>
      </c>
      <c r="D33" s="19">
        <f>Dados!F35</f>
        <v>53.34</v>
      </c>
      <c r="E33" s="19">
        <f>Dados!H35</f>
        <v>81.24</v>
      </c>
      <c r="F33" s="20">
        <f t="shared" ref="F33:I33" si="31">STANDARDIZE(B33,$L$7,$L$8)</f>
        <v>0.7815008726</v>
      </c>
      <c r="G33" s="20">
        <f t="shared" si="31"/>
        <v>5.158464223</v>
      </c>
      <c r="H33" s="20">
        <f t="shared" si="31"/>
        <v>0.5507853403</v>
      </c>
      <c r="I33" s="20">
        <f t="shared" si="31"/>
        <v>1.52460733</v>
      </c>
    </row>
    <row r="34" ht="15.75" customHeight="1">
      <c r="A34" s="10">
        <f>Dados!A36</f>
        <v>43879.66667</v>
      </c>
      <c r="B34" s="19">
        <f>Dados!B36</f>
        <v>59.53</v>
      </c>
      <c r="C34" s="19">
        <f>Dados!D36</f>
        <v>187.23</v>
      </c>
      <c r="D34" s="19">
        <f>Dados!F36</f>
        <v>57.23</v>
      </c>
      <c r="E34" s="19">
        <f>Dados!H36</f>
        <v>79.75</v>
      </c>
      <c r="F34" s="20">
        <f t="shared" ref="F34:I34" si="32">STANDARDIZE(B34,$L$7,$L$8)</f>
        <v>0.7668411867</v>
      </c>
      <c r="G34" s="20">
        <f t="shared" si="32"/>
        <v>5.22408377</v>
      </c>
      <c r="H34" s="20">
        <f t="shared" si="32"/>
        <v>0.6865619546</v>
      </c>
      <c r="I34" s="20">
        <f t="shared" si="32"/>
        <v>1.472600349</v>
      </c>
    </row>
    <row r="35" ht="15.75" customHeight="1">
      <c r="A35" s="10">
        <f>Dados!A37</f>
        <v>43880.66667</v>
      </c>
      <c r="B35" s="19">
        <f>Dados!B37</f>
        <v>59.77</v>
      </c>
      <c r="C35" s="19">
        <f>Dados!D37</f>
        <v>187.28</v>
      </c>
      <c r="D35" s="19">
        <f>Dados!F37</f>
        <v>61.16</v>
      </c>
      <c r="E35" s="19">
        <f>Dados!H37</f>
        <v>80.91</v>
      </c>
      <c r="F35" s="20">
        <f t="shared" ref="F35:I35" si="33">STANDARDIZE(B35,$L$7,$L$8)</f>
        <v>0.7752181501</v>
      </c>
      <c r="G35" s="20">
        <f t="shared" si="33"/>
        <v>5.22582897</v>
      </c>
      <c r="H35" s="20">
        <f t="shared" si="33"/>
        <v>0.8237347295</v>
      </c>
      <c r="I35" s="20">
        <f t="shared" si="33"/>
        <v>1.513089005</v>
      </c>
    </row>
    <row r="36" ht="15.75" customHeight="1">
      <c r="A36" s="10">
        <f>Dados!A38</f>
        <v>43881.66667</v>
      </c>
      <c r="B36" s="19">
        <f>Dados!B38</f>
        <v>59.72</v>
      </c>
      <c r="C36" s="19">
        <f>Dados!D38</f>
        <v>184.42</v>
      </c>
      <c r="D36" s="19">
        <f>Dados!F38</f>
        <v>59.96</v>
      </c>
      <c r="E36" s="19">
        <f>Dados!H38</f>
        <v>80.08</v>
      </c>
      <c r="F36" s="20">
        <f t="shared" ref="F36:I36" si="34">STANDARDIZE(B36,$L$7,$L$8)</f>
        <v>0.7734729494</v>
      </c>
      <c r="G36" s="20">
        <f t="shared" si="34"/>
        <v>5.12600349</v>
      </c>
      <c r="H36" s="20">
        <f t="shared" si="34"/>
        <v>0.7818499127</v>
      </c>
      <c r="I36" s="20">
        <f t="shared" si="34"/>
        <v>1.484118674</v>
      </c>
    </row>
    <row r="37" ht="15.75" customHeight="1">
      <c r="A37" s="10">
        <f>Dados!A39</f>
        <v>43882.66667</v>
      </c>
      <c r="B37" s="19">
        <f>Dados!B39</f>
        <v>60.13</v>
      </c>
      <c r="C37" s="19">
        <f>Dados!D39</f>
        <v>178.59</v>
      </c>
      <c r="D37" s="19">
        <f>Dados!F39</f>
        <v>60.07</v>
      </c>
      <c r="E37" s="19">
        <f>Dados!H39</f>
        <v>78.26</v>
      </c>
      <c r="F37" s="20">
        <f t="shared" ref="F37:I37" si="35">STANDARDIZE(B37,$L$7,$L$8)</f>
        <v>0.7877835951</v>
      </c>
      <c r="G37" s="20">
        <f t="shared" si="35"/>
        <v>4.922513089</v>
      </c>
      <c r="H37" s="20">
        <f t="shared" si="35"/>
        <v>0.7856893543</v>
      </c>
      <c r="I37" s="20">
        <f t="shared" si="35"/>
        <v>1.420593368</v>
      </c>
    </row>
    <row r="38" ht="15.75" customHeight="1">
      <c r="A38" s="10">
        <f>Dados!A40</f>
        <v>43885.66667</v>
      </c>
      <c r="B38" s="19">
        <f>Dados!B40</f>
        <v>58.65</v>
      </c>
      <c r="C38" s="19">
        <f>Dados!D40</f>
        <v>170.89</v>
      </c>
      <c r="D38" s="19">
        <f>Dados!F40</f>
        <v>55.59</v>
      </c>
      <c r="E38" s="19">
        <f>Dados!H40</f>
        <v>74.55</v>
      </c>
      <c r="F38" s="20">
        <f t="shared" ref="F38:I38" si="36">STANDARDIZE(B38,$L$7,$L$8)</f>
        <v>0.7361256545</v>
      </c>
      <c r="G38" s="20">
        <f t="shared" si="36"/>
        <v>4.653752182</v>
      </c>
      <c r="H38" s="20">
        <f t="shared" si="36"/>
        <v>0.6293193717</v>
      </c>
      <c r="I38" s="20">
        <f t="shared" si="36"/>
        <v>1.291099476</v>
      </c>
    </row>
    <row r="39" ht="15.75" customHeight="1">
      <c r="A39" s="10">
        <f>Dados!A41</f>
        <v>43886.66667</v>
      </c>
      <c r="B39" s="19">
        <f>Dados!B41</f>
        <v>57.82</v>
      </c>
      <c r="C39" s="19">
        <f>Dados!D41</f>
        <v>168.07</v>
      </c>
      <c r="D39" s="19">
        <f>Dados!F41</f>
        <v>53.33</v>
      </c>
      <c r="E39" s="19">
        <f>Dados!H41</f>
        <v>72.02</v>
      </c>
      <c r="F39" s="20">
        <f t="shared" ref="F39:I39" si="37">STANDARDIZE(B39,$L$7,$L$8)</f>
        <v>0.7071553229</v>
      </c>
      <c r="G39" s="20">
        <f t="shared" si="37"/>
        <v>4.555322862</v>
      </c>
      <c r="H39" s="20">
        <f t="shared" si="37"/>
        <v>0.5504363002</v>
      </c>
      <c r="I39" s="20">
        <f t="shared" si="37"/>
        <v>1.202792321</v>
      </c>
    </row>
    <row r="40" ht="15.75" customHeight="1">
      <c r="A40" s="10">
        <f>Dados!A42</f>
        <v>43887.66667</v>
      </c>
      <c r="B40" s="19">
        <f>Dados!B42</f>
        <v>57.6</v>
      </c>
      <c r="C40" s="19">
        <f>Dados!D42</f>
        <v>170.17</v>
      </c>
      <c r="D40" s="19">
        <f>Dados!F42</f>
        <v>51.92</v>
      </c>
      <c r="E40" s="19">
        <f>Dados!H42</f>
        <v>73.16</v>
      </c>
      <c r="F40" s="20">
        <f t="shared" ref="F40:I40" si="38">STANDARDIZE(B40,$L$7,$L$8)</f>
        <v>0.6994764398</v>
      </c>
      <c r="G40" s="20">
        <f t="shared" si="38"/>
        <v>4.628621291</v>
      </c>
      <c r="H40" s="20">
        <f t="shared" si="38"/>
        <v>0.5012216405</v>
      </c>
      <c r="I40" s="20">
        <f t="shared" si="38"/>
        <v>1.242582897</v>
      </c>
    </row>
    <row r="41" ht="15.75" customHeight="1">
      <c r="A41" s="10">
        <f>Dados!A43</f>
        <v>43888.66667</v>
      </c>
      <c r="B41" s="19">
        <f>Dados!B43</f>
        <v>54.93</v>
      </c>
      <c r="C41" s="19">
        <f>Dados!D43</f>
        <v>158.18</v>
      </c>
      <c r="D41" s="19">
        <f>Dados!F43</f>
        <v>45.27</v>
      </c>
      <c r="E41" s="19">
        <f>Dados!H43</f>
        <v>68.38</v>
      </c>
      <c r="F41" s="20">
        <f t="shared" ref="F41:I41" si="39">STANDARDIZE(B41,$L$7,$L$8)</f>
        <v>0.6062827225</v>
      </c>
      <c r="G41" s="20">
        <f t="shared" si="39"/>
        <v>4.210122164</v>
      </c>
      <c r="H41" s="20">
        <f t="shared" si="39"/>
        <v>0.2691099476</v>
      </c>
      <c r="I41" s="20">
        <f t="shared" si="39"/>
        <v>1.07574171</v>
      </c>
    </row>
    <row r="42" ht="15.75" customHeight="1">
      <c r="A42" s="10">
        <f>Dados!A44</f>
        <v>43889.66667</v>
      </c>
      <c r="B42" s="19">
        <f>Dados!B44</f>
        <v>53.49</v>
      </c>
      <c r="C42" s="19">
        <f>Dados!D44</f>
        <v>162.01</v>
      </c>
      <c r="D42" s="19">
        <f>Dados!F44</f>
        <v>44.53</v>
      </c>
      <c r="E42" s="19">
        <f>Dados!H44</f>
        <v>68.34</v>
      </c>
      <c r="F42" s="20">
        <f t="shared" ref="F42:I42" si="40">STANDARDIZE(B42,$L$7,$L$8)</f>
        <v>0.5560209424</v>
      </c>
      <c r="G42" s="20">
        <f t="shared" si="40"/>
        <v>4.343804538</v>
      </c>
      <c r="H42" s="20">
        <f t="shared" si="40"/>
        <v>0.2432809773</v>
      </c>
      <c r="I42" s="20">
        <f t="shared" si="40"/>
        <v>1.07434555</v>
      </c>
    </row>
    <row r="43" ht="15.75" customHeight="1">
      <c r="A43" s="10">
        <f>Dados!A45</f>
        <v>43892.66667</v>
      </c>
      <c r="B43" s="19">
        <f>Dados!B45</f>
        <v>55.92</v>
      </c>
      <c r="C43" s="19">
        <f>Dados!D45</f>
        <v>172.79</v>
      </c>
      <c r="D43" s="19">
        <f>Dados!F45</f>
        <v>49.57</v>
      </c>
      <c r="E43" s="19">
        <f>Dados!H45</f>
        <v>74.7</v>
      </c>
      <c r="F43" s="20">
        <f t="shared" ref="F43:I43" si="41">STANDARDIZE(B43,$L$7,$L$8)</f>
        <v>0.6408376963</v>
      </c>
      <c r="G43" s="20">
        <f t="shared" si="41"/>
        <v>4.720069808</v>
      </c>
      <c r="H43" s="20">
        <f t="shared" si="41"/>
        <v>0.4191972077</v>
      </c>
      <c r="I43" s="20">
        <f t="shared" si="41"/>
        <v>1.296335079</v>
      </c>
    </row>
    <row r="44" ht="15.75" customHeight="1">
      <c r="A44" s="10">
        <f>Dados!A46</f>
        <v>43893.66667</v>
      </c>
      <c r="B44" s="19">
        <f>Dados!B46</f>
        <v>56.06</v>
      </c>
      <c r="C44" s="19">
        <f>Dados!D46</f>
        <v>164.51</v>
      </c>
      <c r="D44" s="19">
        <f>Dados!F46</f>
        <v>49.7</v>
      </c>
      <c r="E44" s="19">
        <f>Dados!H46</f>
        <v>72.33</v>
      </c>
      <c r="F44" s="20">
        <f t="shared" ref="F44:I44" si="42">STANDARDIZE(B44,$L$7,$L$8)</f>
        <v>0.6457242583</v>
      </c>
      <c r="G44" s="20">
        <f t="shared" si="42"/>
        <v>4.431064572</v>
      </c>
      <c r="H44" s="20">
        <f t="shared" si="42"/>
        <v>0.4237347295</v>
      </c>
      <c r="I44" s="20">
        <f t="shared" si="42"/>
        <v>1.213612565</v>
      </c>
    </row>
    <row r="45" ht="15.75" customHeight="1">
      <c r="A45" s="10">
        <f>Dados!A47</f>
        <v>43894.66667</v>
      </c>
      <c r="B45" s="19">
        <f>Dados!B47</f>
        <v>58.92</v>
      </c>
      <c r="C45" s="19">
        <f>Dados!D47</f>
        <v>170.55</v>
      </c>
      <c r="D45" s="19">
        <f>Dados!F47</f>
        <v>49.97</v>
      </c>
      <c r="E45" s="19">
        <f>Dados!H47</f>
        <v>75.69</v>
      </c>
      <c r="F45" s="20">
        <f t="shared" ref="F45:I45" si="43">STANDARDIZE(B45,$L$7,$L$8)</f>
        <v>0.7455497382</v>
      </c>
      <c r="G45" s="20">
        <f t="shared" si="43"/>
        <v>4.641884817</v>
      </c>
      <c r="H45" s="20">
        <f t="shared" si="43"/>
        <v>0.4331588133</v>
      </c>
      <c r="I45" s="20">
        <f t="shared" si="43"/>
        <v>1.330890052</v>
      </c>
    </row>
    <row r="46" ht="15.75" customHeight="1">
      <c r="A46" s="10">
        <f>Dados!A48</f>
        <v>43895.66667</v>
      </c>
      <c r="B46" s="19">
        <f>Dados!B48</f>
        <v>56.74</v>
      </c>
      <c r="C46" s="19">
        <f>Dados!D48</f>
        <v>166.27</v>
      </c>
      <c r="D46" s="19">
        <f>Dados!F48</f>
        <v>48.3</v>
      </c>
      <c r="E46" s="19">
        <f>Dados!H48</f>
        <v>73.23</v>
      </c>
      <c r="F46" s="20">
        <f t="shared" ref="F46:I46" si="44">STANDARDIZE(B46,$L$7,$L$8)</f>
        <v>0.6694589878</v>
      </c>
      <c r="G46" s="20">
        <f t="shared" si="44"/>
        <v>4.492495637</v>
      </c>
      <c r="H46" s="20">
        <f t="shared" si="44"/>
        <v>0.3748691099</v>
      </c>
      <c r="I46" s="20">
        <f t="shared" si="44"/>
        <v>1.245026178</v>
      </c>
    </row>
    <row r="47" ht="15.75" customHeight="1">
      <c r="A47" s="10">
        <f>Dados!A49</f>
        <v>43896.66667</v>
      </c>
      <c r="B47" s="19">
        <f>Dados!B49</f>
        <v>55.26</v>
      </c>
      <c r="C47" s="19">
        <f>Dados!D49</f>
        <v>161.57</v>
      </c>
      <c r="D47" s="19">
        <f>Dados!F49</f>
        <v>46.9</v>
      </c>
      <c r="E47" s="19">
        <f>Dados!H49</f>
        <v>72.26</v>
      </c>
      <c r="F47" s="20">
        <f t="shared" ref="F47:I47" si="45">STANDARDIZE(B47,$L$7,$L$8)</f>
        <v>0.6178010471</v>
      </c>
      <c r="G47" s="20">
        <f t="shared" si="45"/>
        <v>4.328446771</v>
      </c>
      <c r="H47" s="20">
        <f t="shared" si="45"/>
        <v>0.3260034904</v>
      </c>
      <c r="I47" s="20">
        <f t="shared" si="45"/>
        <v>1.211169284</v>
      </c>
    </row>
    <row r="48" ht="15.75" customHeight="1">
      <c r="A48" s="10">
        <f>Dados!A50</f>
        <v>43899.66667</v>
      </c>
      <c r="B48" s="19">
        <f>Dados!B50</f>
        <v>51.86</v>
      </c>
      <c r="C48" s="19">
        <f>Dados!D50</f>
        <v>150.62</v>
      </c>
      <c r="D48" s="19">
        <f>Dados!F50</f>
        <v>40.53</v>
      </c>
      <c r="E48" s="19">
        <f>Dados!H50</f>
        <v>66.54</v>
      </c>
      <c r="F48" s="20">
        <f t="shared" ref="F48:I48" si="46">STANDARDIZE(B48,$L$7,$L$8)</f>
        <v>0.4991273997</v>
      </c>
      <c r="G48" s="20">
        <f t="shared" si="46"/>
        <v>3.946247818</v>
      </c>
      <c r="H48" s="20">
        <f t="shared" si="46"/>
        <v>0.1036649215</v>
      </c>
      <c r="I48" s="20">
        <f t="shared" si="46"/>
        <v>1.011518325</v>
      </c>
    </row>
    <row r="49" ht="15.75" customHeight="1">
      <c r="A49" s="10">
        <f>Dados!A51</f>
        <v>43900.66667</v>
      </c>
      <c r="B49" s="19">
        <f>Dados!B51</f>
        <v>53.66</v>
      </c>
      <c r="C49" s="19">
        <f>Dados!D51</f>
        <v>160.92</v>
      </c>
      <c r="D49" s="19">
        <f>Dados!F51</f>
        <v>43.02</v>
      </c>
      <c r="E49" s="19">
        <f>Dados!H51</f>
        <v>71.33</v>
      </c>
      <c r="F49" s="20">
        <f t="shared" ref="F49:I49" si="47">STANDARDIZE(B49,$L$7,$L$8)</f>
        <v>0.5619546248</v>
      </c>
      <c r="G49" s="20">
        <f t="shared" si="47"/>
        <v>4.305759162</v>
      </c>
      <c r="H49" s="20">
        <f t="shared" si="47"/>
        <v>0.1905759162</v>
      </c>
      <c r="I49" s="20">
        <f t="shared" si="47"/>
        <v>1.178708551</v>
      </c>
    </row>
    <row r="50" ht="15.75" customHeight="1">
      <c r="A50" s="10">
        <f>Dados!A52</f>
        <v>43901.66667</v>
      </c>
      <c r="B50" s="19">
        <f>Dados!B52</f>
        <v>52.21</v>
      </c>
      <c r="C50" s="19">
        <f>Dados!D52</f>
        <v>153.63</v>
      </c>
      <c r="D50" s="19">
        <f>Dados!F52</f>
        <v>42.28</v>
      </c>
      <c r="E50" s="19">
        <f>Dados!H52</f>
        <v>68.86</v>
      </c>
      <c r="F50" s="20">
        <f t="shared" ref="F50:I50" si="48">STANDARDIZE(B50,$L$7,$L$8)</f>
        <v>0.5113438045</v>
      </c>
      <c r="G50" s="20">
        <f t="shared" si="48"/>
        <v>4.051308901</v>
      </c>
      <c r="H50" s="20">
        <f t="shared" si="48"/>
        <v>0.1647469459</v>
      </c>
      <c r="I50" s="20">
        <f t="shared" si="48"/>
        <v>1.092495637</v>
      </c>
    </row>
    <row r="51" ht="15.75" customHeight="1">
      <c r="A51" s="10">
        <f>Dados!A53</f>
        <v>43902.66667</v>
      </c>
      <c r="B51" s="19">
        <f>Dados!B53</f>
        <v>47.16</v>
      </c>
      <c r="C51" s="19">
        <f>Dados!D53</f>
        <v>139.06</v>
      </c>
      <c r="D51" s="19">
        <f>Dados!F53</f>
        <v>37.37</v>
      </c>
      <c r="E51" s="19">
        <f>Dados!H53</f>
        <v>62.06</v>
      </c>
      <c r="F51" s="20">
        <f t="shared" ref="F51:I51" si="49">STANDARDIZE(B51,$L$7,$L$8)</f>
        <v>0.335078534</v>
      </c>
      <c r="G51" s="20">
        <f t="shared" si="49"/>
        <v>3.542757417</v>
      </c>
      <c r="H51" s="20">
        <f t="shared" si="49"/>
        <v>-0.006631762653</v>
      </c>
      <c r="I51" s="20">
        <f t="shared" si="49"/>
        <v>0.8551483421</v>
      </c>
    </row>
    <row r="52" ht="15.75" customHeight="1">
      <c r="A52" s="10">
        <f>Dados!A54</f>
        <v>43903.66667</v>
      </c>
      <c r="B52" s="19">
        <f>Dados!B54</f>
        <v>48.47</v>
      </c>
      <c r="C52" s="19">
        <f>Dados!D54</f>
        <v>158.83</v>
      </c>
      <c r="D52" s="19">
        <f>Dados!F54</f>
        <v>36.44</v>
      </c>
      <c r="E52" s="19">
        <f>Dados!H54</f>
        <v>69.49</v>
      </c>
      <c r="F52" s="20">
        <f t="shared" ref="F52:I52" si="50">STANDARDIZE(B52,$L$7,$L$8)</f>
        <v>0.3808027923</v>
      </c>
      <c r="G52" s="20">
        <f t="shared" si="50"/>
        <v>4.232809773</v>
      </c>
      <c r="H52" s="20">
        <f t="shared" si="50"/>
        <v>-0.03909249564</v>
      </c>
      <c r="I52" s="20">
        <f t="shared" si="50"/>
        <v>1.114485166</v>
      </c>
    </row>
    <row r="53" ht="15.75" customHeight="1">
      <c r="A53" s="10">
        <f>Dados!A55</f>
        <v>43906.66667</v>
      </c>
      <c r="B53" s="19">
        <f>Dados!B55</f>
        <v>45.26</v>
      </c>
      <c r="C53" s="19">
        <f>Dados!D55</f>
        <v>135.42</v>
      </c>
      <c r="D53" s="19">
        <f>Dados!F55</f>
        <v>29.67</v>
      </c>
      <c r="E53" s="19">
        <f>Dados!H55</f>
        <v>60.55</v>
      </c>
      <c r="F53" s="20">
        <f t="shared" ref="F53:I53" si="51">STANDARDIZE(B53,$L$7,$L$8)</f>
        <v>0.2687609075</v>
      </c>
      <c r="G53" s="20">
        <f t="shared" si="51"/>
        <v>3.415706806</v>
      </c>
      <c r="H53" s="20">
        <f t="shared" si="51"/>
        <v>-0.2753926702</v>
      </c>
      <c r="I53" s="20">
        <f t="shared" si="51"/>
        <v>0.802443281</v>
      </c>
    </row>
    <row r="54" ht="15.75" customHeight="1">
      <c r="A54" s="10">
        <f>Dados!A56</f>
        <v>43907.66667</v>
      </c>
      <c r="B54" s="19">
        <f>Dados!B56</f>
        <v>47.18</v>
      </c>
      <c r="C54" s="19">
        <f>Dados!D56</f>
        <v>146.57</v>
      </c>
      <c r="D54" s="19">
        <f>Dados!F56</f>
        <v>28.68</v>
      </c>
      <c r="E54" s="19">
        <f>Dados!H56</f>
        <v>63.22</v>
      </c>
      <c r="F54" s="20">
        <f t="shared" ref="F54:I54" si="52">STANDARDIZE(B54,$L$7,$L$8)</f>
        <v>0.3357766143</v>
      </c>
      <c r="G54" s="20">
        <f t="shared" si="52"/>
        <v>3.804886562</v>
      </c>
      <c r="H54" s="20">
        <f t="shared" si="52"/>
        <v>-0.309947644</v>
      </c>
      <c r="I54" s="20">
        <f t="shared" si="52"/>
        <v>0.8956369983</v>
      </c>
    </row>
    <row r="55" ht="15.75" customHeight="1">
      <c r="A55" s="10">
        <f>Dados!A57</f>
        <v>43908.66667</v>
      </c>
      <c r="B55" s="19">
        <f>Dados!B57</f>
        <v>44.85</v>
      </c>
      <c r="C55" s="19">
        <f>Dados!D57</f>
        <v>140.4</v>
      </c>
      <c r="D55" s="19">
        <f>Dados!F57</f>
        <v>24.08</v>
      </c>
      <c r="E55" s="19">
        <f>Dados!H57</f>
        <v>61.67</v>
      </c>
      <c r="F55" s="20">
        <f t="shared" ref="F55:I55" si="53">STANDARDIZE(B55,$L$7,$L$8)</f>
        <v>0.2544502618</v>
      </c>
      <c r="G55" s="20">
        <f t="shared" si="53"/>
        <v>3.589528796</v>
      </c>
      <c r="H55" s="20">
        <f t="shared" si="53"/>
        <v>-0.4705061082</v>
      </c>
      <c r="I55" s="20">
        <f t="shared" si="53"/>
        <v>0.8415357766</v>
      </c>
    </row>
    <row r="56" ht="15.75" customHeight="1">
      <c r="A56" s="10">
        <f>Dados!A58</f>
        <v>43909.66667</v>
      </c>
      <c r="B56" s="19">
        <f>Dados!B58</f>
        <v>41.83</v>
      </c>
      <c r="C56" s="19">
        <f>Dados!D58</f>
        <v>142.71</v>
      </c>
      <c r="D56" s="19">
        <f>Dados!F58</f>
        <v>28.51</v>
      </c>
      <c r="E56" s="19">
        <f>Dados!H58</f>
        <v>61.2</v>
      </c>
      <c r="F56" s="20">
        <f t="shared" ref="F56:I56" si="54">STANDARDIZE(B56,$L$7,$L$8)</f>
        <v>0.1490401396</v>
      </c>
      <c r="G56" s="20">
        <f t="shared" si="54"/>
        <v>3.670157068</v>
      </c>
      <c r="H56" s="20">
        <f t="shared" si="54"/>
        <v>-0.3158813264</v>
      </c>
      <c r="I56" s="20">
        <f t="shared" si="54"/>
        <v>0.8251308901</v>
      </c>
    </row>
    <row r="57" ht="15.75" customHeight="1">
      <c r="A57" s="10">
        <f>Dados!A59</f>
        <v>43910.66667</v>
      </c>
      <c r="B57" s="19">
        <f>Dados!B59</f>
        <v>38.3</v>
      </c>
      <c r="C57" s="19">
        <f>Dados!D59</f>
        <v>137.35</v>
      </c>
      <c r="D57" s="19">
        <f>Dados!F59</f>
        <v>28.5</v>
      </c>
      <c r="E57" s="19">
        <f>Dados!H59</f>
        <v>57.31</v>
      </c>
      <c r="F57" s="20">
        <f t="shared" ref="F57:I57" si="55">STANDARDIZE(B57,$L$7,$L$8)</f>
        <v>0.02582897033</v>
      </c>
      <c r="G57" s="20">
        <f t="shared" si="55"/>
        <v>3.483071553</v>
      </c>
      <c r="H57" s="20">
        <f t="shared" si="55"/>
        <v>-0.3162303665</v>
      </c>
      <c r="I57" s="20">
        <f t="shared" si="55"/>
        <v>0.6893542757</v>
      </c>
    </row>
    <row r="58" ht="15.75" customHeight="1">
      <c r="A58" s="10">
        <f>Dados!A60</f>
        <v>43913.66667</v>
      </c>
      <c r="B58" s="19">
        <f>Dados!B60</f>
        <v>37.56</v>
      </c>
      <c r="C58" s="19">
        <f>Dados!D60</f>
        <v>135.98</v>
      </c>
      <c r="D58" s="19">
        <f>Dados!F60</f>
        <v>28.95</v>
      </c>
      <c r="E58" s="19">
        <f>Dados!H60</f>
        <v>56.09</v>
      </c>
      <c r="F58" s="20">
        <f t="shared" ref="F58:I58" si="56">STANDARDIZE(B58,$L$7,$L$8)</f>
        <v>0</v>
      </c>
      <c r="G58" s="20">
        <f t="shared" si="56"/>
        <v>3.435253054</v>
      </c>
      <c r="H58" s="20">
        <f t="shared" si="56"/>
        <v>-0.3005235602</v>
      </c>
      <c r="I58" s="20">
        <f t="shared" si="56"/>
        <v>0.6467713787</v>
      </c>
    </row>
    <row r="59" ht="15.75" customHeight="1">
      <c r="A59" s="10">
        <f>Dados!A61</f>
        <v>43914.66667</v>
      </c>
      <c r="B59" s="19">
        <f>Dados!B61</f>
        <v>39.45</v>
      </c>
      <c r="C59" s="19">
        <f>Dados!D61</f>
        <v>148.34</v>
      </c>
      <c r="D59" s="19">
        <f>Dados!F61</f>
        <v>33.67</v>
      </c>
      <c r="E59" s="19">
        <f>Dados!H61</f>
        <v>61.72</v>
      </c>
      <c r="F59" s="20">
        <f t="shared" ref="F59:I59" si="57">STANDARDIZE(B59,$L$7,$L$8)</f>
        <v>0.06596858639</v>
      </c>
      <c r="G59" s="20">
        <f t="shared" si="57"/>
        <v>3.866666667</v>
      </c>
      <c r="H59" s="20">
        <f t="shared" si="57"/>
        <v>-0.1357766143</v>
      </c>
      <c r="I59" s="20">
        <f t="shared" si="57"/>
        <v>0.8432809773</v>
      </c>
    </row>
    <row r="60" ht="15.75" customHeight="1">
      <c r="A60" s="10">
        <f>Dados!A62</f>
        <v>43915.66667</v>
      </c>
      <c r="B60" s="19">
        <f>Dados!B62</f>
        <v>41.61</v>
      </c>
      <c r="C60" s="19">
        <f>Dados!D62</f>
        <v>146.92</v>
      </c>
      <c r="D60" s="19">
        <f>Dados!F62</f>
        <v>35.95</v>
      </c>
      <c r="E60" s="19">
        <f>Dados!H62</f>
        <v>61.38</v>
      </c>
      <c r="F60" s="20">
        <f t="shared" ref="F60:I60" si="58">STANDARDIZE(B60,$L$7,$L$8)</f>
        <v>0.1413612565</v>
      </c>
      <c r="G60" s="20">
        <f t="shared" si="58"/>
        <v>3.817102967</v>
      </c>
      <c r="H60" s="20">
        <f t="shared" si="58"/>
        <v>-0.05619546248</v>
      </c>
      <c r="I60" s="20">
        <f t="shared" si="58"/>
        <v>0.8314136126</v>
      </c>
    </row>
    <row r="61" ht="15.75" customHeight="1">
      <c r="A61" s="10">
        <f>Dados!A63</f>
        <v>43916.66667</v>
      </c>
      <c r="B61" s="19">
        <f>Dados!B63</f>
        <v>44.29</v>
      </c>
      <c r="C61" s="19">
        <f>Dados!D63</f>
        <v>156.11</v>
      </c>
      <c r="D61" s="19">
        <f>Dados!F63</f>
        <v>35.21</v>
      </c>
      <c r="E61" s="19">
        <f>Dados!H63</f>
        <v>64.61</v>
      </c>
      <c r="F61" s="20">
        <f t="shared" ref="F61:I61" si="59">STANDARDIZE(B61,$L$7,$L$8)</f>
        <v>0.234904014</v>
      </c>
      <c r="G61" s="20">
        <f t="shared" si="59"/>
        <v>4.137870855</v>
      </c>
      <c r="H61" s="20">
        <f t="shared" si="59"/>
        <v>-0.08202443281</v>
      </c>
      <c r="I61" s="20">
        <f t="shared" si="59"/>
        <v>0.9441535777</v>
      </c>
    </row>
    <row r="62" ht="15.75" customHeight="1">
      <c r="A62" s="10">
        <f>Dados!A64</f>
        <v>43917.66667</v>
      </c>
      <c r="B62" s="19">
        <f>Dados!B64</f>
        <v>42.81</v>
      </c>
      <c r="C62" s="19">
        <f>Dados!D64</f>
        <v>149.7</v>
      </c>
      <c r="D62" s="19">
        <f>Dados!F64</f>
        <v>34.29</v>
      </c>
      <c r="E62" s="19">
        <f>Dados!H64</f>
        <v>61.94</v>
      </c>
      <c r="F62" s="20">
        <f t="shared" ref="F62:I62" si="60">STANDARDIZE(B62,$L$7,$L$8)</f>
        <v>0.1832460733</v>
      </c>
      <c r="G62" s="20">
        <f t="shared" si="60"/>
        <v>3.914136126</v>
      </c>
      <c r="H62" s="20">
        <f t="shared" si="60"/>
        <v>-0.1141361257</v>
      </c>
      <c r="I62" s="20">
        <f t="shared" si="60"/>
        <v>0.8509598604</v>
      </c>
    </row>
    <row r="63" ht="15.75" customHeight="1">
      <c r="A63" s="10">
        <f>Dados!A65</f>
        <v>43920.66667</v>
      </c>
      <c r="B63" s="19">
        <f>Dados!B65</f>
        <v>45</v>
      </c>
      <c r="C63" s="19">
        <f>Dados!D65</f>
        <v>160.23</v>
      </c>
      <c r="D63" s="19">
        <f>Dados!F65</f>
        <v>33.48</v>
      </c>
      <c r="E63" s="19">
        <f>Dados!H65</f>
        <v>63.7</v>
      </c>
      <c r="F63" s="20">
        <f t="shared" ref="F63:I63" si="61">STANDARDIZE(B63,$L$7,$L$8)</f>
        <v>0.2596858639</v>
      </c>
      <c r="G63" s="20">
        <f t="shared" si="61"/>
        <v>4.281675393</v>
      </c>
      <c r="H63" s="20">
        <f t="shared" si="61"/>
        <v>-0.142408377</v>
      </c>
      <c r="I63" s="20">
        <f t="shared" si="61"/>
        <v>0.912390925</v>
      </c>
    </row>
    <row r="64" ht="15.75" customHeight="1">
      <c r="A64" s="10">
        <f>Dados!A66</f>
        <v>43921.66667</v>
      </c>
      <c r="B64" s="19">
        <f>Dados!B66</f>
        <v>44.25</v>
      </c>
      <c r="C64" s="19">
        <f>Dados!D66</f>
        <v>157.71</v>
      </c>
      <c r="D64" s="19">
        <f>Dados!F66</f>
        <v>34.93</v>
      </c>
      <c r="E64" s="19">
        <f>Dados!H66</f>
        <v>63.57</v>
      </c>
      <c r="F64" s="20">
        <f t="shared" ref="F64:I64" si="62">STANDARDIZE(B64,$L$7,$L$8)</f>
        <v>0.2335078534</v>
      </c>
      <c r="G64" s="20">
        <f t="shared" si="62"/>
        <v>4.193717277</v>
      </c>
      <c r="H64" s="20">
        <f t="shared" si="62"/>
        <v>-0.09179755672</v>
      </c>
      <c r="I64" s="20">
        <f t="shared" si="62"/>
        <v>0.9078534031</v>
      </c>
    </row>
    <row r="65" ht="15.75" customHeight="1">
      <c r="A65" s="10">
        <f>Dados!A67</f>
        <v>43922.66667</v>
      </c>
      <c r="B65" s="19">
        <f>Dados!B67</f>
        <v>42.12</v>
      </c>
      <c r="C65" s="19">
        <f>Dados!D67</f>
        <v>152.11</v>
      </c>
      <c r="D65" s="19">
        <f>Dados!F67</f>
        <v>32.1</v>
      </c>
      <c r="E65" s="19">
        <f>Dados!H67</f>
        <v>60.23</v>
      </c>
      <c r="F65" s="20">
        <f t="shared" ref="F65:I65" si="63">STANDARDIZE(B65,$L$7,$L$8)</f>
        <v>0.1591623037</v>
      </c>
      <c r="G65" s="20">
        <f t="shared" si="63"/>
        <v>3.998254799</v>
      </c>
      <c r="H65" s="20">
        <f t="shared" si="63"/>
        <v>-0.1905759162</v>
      </c>
      <c r="I65" s="20">
        <f t="shared" si="63"/>
        <v>0.7912739965</v>
      </c>
    </row>
    <row r="66" ht="15.75" customHeight="1">
      <c r="A66" s="10">
        <f>Dados!A68</f>
        <v>43923.66667</v>
      </c>
      <c r="B66" s="19">
        <f>Dados!B68</f>
        <v>43.95</v>
      </c>
      <c r="C66" s="19">
        <f>Dados!D68</f>
        <v>155.26</v>
      </c>
      <c r="D66" s="19">
        <f>Dados!F68</f>
        <v>30.3</v>
      </c>
      <c r="E66" s="19">
        <f>Dados!H68</f>
        <v>61.23</v>
      </c>
      <c r="F66" s="20">
        <f t="shared" ref="F66:I66" si="64">STANDARDIZE(B66,$L$7,$L$8)</f>
        <v>0.2230366492</v>
      </c>
      <c r="G66" s="20">
        <f t="shared" si="64"/>
        <v>4.108202443</v>
      </c>
      <c r="H66" s="20">
        <f t="shared" si="64"/>
        <v>-0.2534031414</v>
      </c>
      <c r="I66" s="20">
        <f t="shared" si="64"/>
        <v>0.8261780105</v>
      </c>
    </row>
    <row r="67" ht="15.75" customHeight="1">
      <c r="A67" s="10">
        <f>Dados!A69</f>
        <v>43924.66667</v>
      </c>
      <c r="B67" s="19">
        <f>Dados!B69</f>
        <v>43.83</v>
      </c>
      <c r="C67" s="19">
        <f>Dados!D69</f>
        <v>153.83</v>
      </c>
      <c r="D67" s="19">
        <f>Dados!F69</f>
        <v>32</v>
      </c>
      <c r="E67" s="19">
        <f>Dados!H69</f>
        <v>60.35</v>
      </c>
      <c r="F67" s="20">
        <f t="shared" ref="F67:I67" si="65">STANDARDIZE(B67,$L$7,$L$8)</f>
        <v>0.2188481675</v>
      </c>
      <c r="G67" s="20">
        <f t="shared" si="65"/>
        <v>4.058289703</v>
      </c>
      <c r="H67" s="20">
        <f t="shared" si="65"/>
        <v>-0.1940663176</v>
      </c>
      <c r="I67" s="20">
        <f t="shared" si="65"/>
        <v>0.7954624782</v>
      </c>
    </row>
    <row r="68" ht="15.75" customHeight="1">
      <c r="A68" s="10">
        <f>Dados!A70</f>
        <v>43927.66667</v>
      </c>
      <c r="B68" s="19">
        <f>Dados!B70</f>
        <v>46.67</v>
      </c>
      <c r="C68" s="19">
        <f>Dados!D70</f>
        <v>165.27</v>
      </c>
      <c r="D68" s="19">
        <f>Dados!F70</f>
        <v>34.42</v>
      </c>
      <c r="E68" s="19">
        <f>Dados!H70</f>
        <v>65.62</v>
      </c>
      <c r="F68" s="20">
        <f t="shared" ref="F68:I68" si="66">STANDARDIZE(B68,$L$7,$L$8)</f>
        <v>0.3179755672</v>
      </c>
      <c r="G68" s="20">
        <f t="shared" si="66"/>
        <v>4.457591623</v>
      </c>
      <c r="H68" s="20">
        <f t="shared" si="66"/>
        <v>-0.1095986038</v>
      </c>
      <c r="I68" s="20">
        <f t="shared" si="66"/>
        <v>0.9794066318</v>
      </c>
    </row>
    <row r="69" ht="15.75" customHeight="1">
      <c r="A69" s="10">
        <f>Dados!A71</f>
        <v>43928.66667</v>
      </c>
      <c r="B69" s="19">
        <f>Dados!B71</f>
        <v>46.51</v>
      </c>
      <c r="C69" s="19">
        <f>Dados!D71</f>
        <v>163.49</v>
      </c>
      <c r="D69" s="19">
        <f>Dados!F71</f>
        <v>36.36</v>
      </c>
      <c r="E69" s="19">
        <f>Dados!H71</f>
        <v>64.86</v>
      </c>
      <c r="F69" s="20">
        <f t="shared" ref="F69:I69" si="67">STANDARDIZE(B69,$L$7,$L$8)</f>
        <v>0.312390925</v>
      </c>
      <c r="G69" s="20">
        <f t="shared" si="67"/>
        <v>4.395462478</v>
      </c>
      <c r="H69" s="20">
        <f t="shared" si="67"/>
        <v>-0.04188481675</v>
      </c>
      <c r="I69" s="20">
        <f t="shared" si="67"/>
        <v>0.9528795812</v>
      </c>
    </row>
    <row r="70" ht="15.75" customHeight="1">
      <c r="A70" s="10">
        <f>Dados!A72</f>
        <v>43929.66667</v>
      </c>
      <c r="B70" s="19">
        <f>Dados!B72</f>
        <v>47.82</v>
      </c>
      <c r="C70" s="19">
        <f>Dados!D72</f>
        <v>165.13</v>
      </c>
      <c r="D70" s="19">
        <f>Dados!F72</f>
        <v>36.59</v>
      </c>
      <c r="E70" s="19">
        <f>Dados!H72</f>
        <v>66.52</v>
      </c>
      <c r="F70" s="20">
        <f t="shared" ref="F70:I70" si="68">STANDARDIZE(B70,$L$7,$L$8)</f>
        <v>0.3581151832</v>
      </c>
      <c r="G70" s="20">
        <f t="shared" si="68"/>
        <v>4.452705061</v>
      </c>
      <c r="H70" s="20">
        <f t="shared" si="68"/>
        <v>-0.03385689354</v>
      </c>
      <c r="I70" s="20">
        <f t="shared" si="68"/>
        <v>1.010820244</v>
      </c>
    </row>
    <row r="71" ht="15.75" customHeight="1">
      <c r="A71" s="10">
        <f>Dados!A73</f>
        <v>43930.66667</v>
      </c>
      <c r="B71" s="19">
        <f>Dados!B73</f>
        <v>49</v>
      </c>
      <c r="C71" s="19">
        <f>Dados!D73</f>
        <v>165.14</v>
      </c>
      <c r="D71" s="19">
        <f>Dados!F73</f>
        <v>38.2</v>
      </c>
      <c r="E71" s="19">
        <f>Dados!H73</f>
        <v>67</v>
      </c>
      <c r="F71" s="20">
        <f t="shared" ref="F71:I71" si="69">STANDARDIZE(B71,$L$7,$L$8)</f>
        <v>0.3993019197</v>
      </c>
      <c r="G71" s="20">
        <f t="shared" si="69"/>
        <v>4.453054101</v>
      </c>
      <c r="H71" s="20">
        <f t="shared" si="69"/>
        <v>0.02233856894</v>
      </c>
      <c r="I71" s="20">
        <f t="shared" si="69"/>
        <v>1.027574171</v>
      </c>
    </row>
    <row r="72" ht="15.75" customHeight="1">
      <c r="A72" s="10">
        <f>Dados!A74</f>
        <v>43934.66667</v>
      </c>
      <c r="B72" s="19">
        <f>Dados!B74</f>
        <v>46.93</v>
      </c>
      <c r="C72" s="19">
        <f>Dados!D74</f>
        <v>165.51</v>
      </c>
      <c r="D72" s="19">
        <f>Dados!F74</f>
        <v>43.4</v>
      </c>
      <c r="E72" s="19">
        <f>Dados!H74</f>
        <v>68.31</v>
      </c>
      <c r="F72" s="20">
        <f t="shared" ref="F72:I72" si="70">STANDARDIZE(B72,$L$7,$L$8)</f>
        <v>0.3270506108</v>
      </c>
      <c r="G72" s="20">
        <f t="shared" si="70"/>
        <v>4.465968586</v>
      </c>
      <c r="H72" s="20">
        <f t="shared" si="70"/>
        <v>0.2038394415</v>
      </c>
      <c r="I72" s="20">
        <f t="shared" si="70"/>
        <v>1.073298429</v>
      </c>
    </row>
    <row r="73" ht="15.75" customHeight="1">
      <c r="A73" s="10">
        <f>Dados!A75</f>
        <v>43935.66667</v>
      </c>
      <c r="B73" s="19">
        <f>Dados!B75</f>
        <v>48.92</v>
      </c>
      <c r="C73" s="19">
        <f>Dados!D75</f>
        <v>173.7</v>
      </c>
      <c r="D73" s="19">
        <f>Dados!F75</f>
        <v>47.33</v>
      </c>
      <c r="E73" s="19">
        <f>Dados!H75</f>
        <v>71.76</v>
      </c>
      <c r="F73" s="20">
        <f t="shared" ref="F73:I73" si="71">STANDARDIZE(B73,$L$7,$L$8)</f>
        <v>0.3965095986</v>
      </c>
      <c r="G73" s="20">
        <f t="shared" si="71"/>
        <v>4.751832461</v>
      </c>
      <c r="H73" s="20">
        <f t="shared" si="71"/>
        <v>0.3410122164</v>
      </c>
      <c r="I73" s="20">
        <f t="shared" si="71"/>
        <v>1.193717277</v>
      </c>
    </row>
    <row r="74" ht="15.75" customHeight="1">
      <c r="A74" s="10">
        <f>Dados!A76</f>
        <v>43936.66667</v>
      </c>
      <c r="B74" s="19">
        <f>Dados!B76</f>
        <v>47.61</v>
      </c>
      <c r="C74" s="19">
        <f>Dados!D76</f>
        <v>171.88</v>
      </c>
      <c r="D74" s="19">
        <f>Dados!F76</f>
        <v>48.66</v>
      </c>
      <c r="E74" s="19">
        <f>Dados!H76</f>
        <v>71.11</v>
      </c>
      <c r="F74" s="20">
        <f t="shared" ref="F74:I74" si="72">STANDARDIZE(B74,$L$7,$L$8)</f>
        <v>0.3507853403</v>
      </c>
      <c r="G74" s="20">
        <f t="shared" si="72"/>
        <v>4.688307155</v>
      </c>
      <c r="H74" s="20">
        <f t="shared" si="72"/>
        <v>0.387434555</v>
      </c>
      <c r="I74" s="20">
        <f t="shared" si="72"/>
        <v>1.171029668</v>
      </c>
    </row>
    <row r="75" ht="15.75" customHeight="1">
      <c r="A75" s="10">
        <f>Dados!A77</f>
        <v>43937.66667</v>
      </c>
      <c r="B75" s="19">
        <f>Dados!B77</f>
        <v>47.1</v>
      </c>
      <c r="C75" s="19">
        <f>Dados!D77</f>
        <v>177.04</v>
      </c>
      <c r="D75" s="19">
        <f>Dados!F77</f>
        <v>49.68</v>
      </c>
      <c r="E75" s="19">
        <f>Dados!H77</f>
        <v>71.67</v>
      </c>
      <c r="F75" s="20">
        <f t="shared" ref="F75:I75" si="73">STANDARDIZE(B75,$L$7,$L$8)</f>
        <v>0.3329842932</v>
      </c>
      <c r="G75" s="20">
        <f t="shared" si="73"/>
        <v>4.868411867</v>
      </c>
      <c r="H75" s="20">
        <f t="shared" si="73"/>
        <v>0.4230366492</v>
      </c>
      <c r="I75" s="20">
        <f t="shared" si="73"/>
        <v>1.190575916</v>
      </c>
    </row>
    <row r="76" ht="15.75" customHeight="1">
      <c r="A76" s="10">
        <f>Dados!A78</f>
        <v>43938.66667</v>
      </c>
      <c r="B76" s="19">
        <f>Dados!B78</f>
        <v>48.06</v>
      </c>
      <c r="C76" s="19">
        <f>Dados!D78</f>
        <v>178.6</v>
      </c>
      <c r="D76" s="19">
        <f>Dados!F78</f>
        <v>50.26</v>
      </c>
      <c r="E76" s="19">
        <f>Dados!H78</f>
        <v>70.7</v>
      </c>
      <c r="F76" s="20">
        <f t="shared" ref="F76:I76" si="74">STANDARDIZE(B76,$L$7,$L$8)</f>
        <v>0.3664921466</v>
      </c>
      <c r="G76" s="20">
        <f t="shared" si="74"/>
        <v>4.922862129</v>
      </c>
      <c r="H76" s="20">
        <f t="shared" si="74"/>
        <v>0.4432809773</v>
      </c>
      <c r="I76" s="20">
        <f t="shared" si="74"/>
        <v>1.156719023</v>
      </c>
    </row>
    <row r="77" ht="15.75" customHeight="1">
      <c r="A77" s="10">
        <f>Dados!A79</f>
        <v>43941.66667</v>
      </c>
      <c r="B77" s="19">
        <f>Dados!B79</f>
        <v>46.53</v>
      </c>
      <c r="C77" s="19">
        <f>Dados!D79</f>
        <v>175.06</v>
      </c>
      <c r="D77" s="19">
        <f>Dados!F79</f>
        <v>49.76</v>
      </c>
      <c r="E77" s="19">
        <f>Dados!H79</f>
        <v>69.23</v>
      </c>
      <c r="F77" s="20">
        <f t="shared" ref="F77:I77" si="75">STANDARDIZE(B77,$L$7,$L$8)</f>
        <v>0.3130890052</v>
      </c>
      <c r="G77" s="20">
        <f t="shared" si="75"/>
        <v>4.79930192</v>
      </c>
      <c r="H77" s="20">
        <f t="shared" si="75"/>
        <v>0.4258289703</v>
      </c>
      <c r="I77" s="20">
        <f t="shared" si="75"/>
        <v>1.105410122</v>
      </c>
    </row>
    <row r="78" ht="15.75" customHeight="1">
      <c r="A78" s="10">
        <f>Dados!A80</f>
        <v>43942.66667</v>
      </c>
      <c r="B78" s="19">
        <f>Dados!B80</f>
        <v>45.38</v>
      </c>
      <c r="C78" s="19">
        <f>Dados!D80</f>
        <v>167.82</v>
      </c>
      <c r="D78" s="19">
        <f>Dados!F80</f>
        <v>45.78</v>
      </c>
      <c r="E78" s="19">
        <f>Dados!H80</f>
        <v>67.09</v>
      </c>
      <c r="F78" s="20">
        <f t="shared" ref="F78:I78" si="76">STANDARDIZE(B78,$L$7,$L$8)</f>
        <v>0.2729493892</v>
      </c>
      <c r="G78" s="20">
        <f t="shared" si="76"/>
        <v>4.546596859</v>
      </c>
      <c r="H78" s="20">
        <f t="shared" si="76"/>
        <v>0.2869109948</v>
      </c>
      <c r="I78" s="20">
        <f t="shared" si="76"/>
        <v>1.030715532</v>
      </c>
    </row>
    <row r="79" ht="15.75" customHeight="1">
      <c r="A79" s="10">
        <f>Dados!A81</f>
        <v>43943.66667</v>
      </c>
      <c r="B79" s="19">
        <f>Dados!B81</f>
        <v>45.68</v>
      </c>
      <c r="C79" s="19">
        <f>Dados!D81</f>
        <v>173.52</v>
      </c>
      <c r="D79" s="19">
        <f>Dados!F81</f>
        <v>48.81</v>
      </c>
      <c r="E79" s="19">
        <f>Dados!H81</f>
        <v>69.03</v>
      </c>
      <c r="F79" s="20">
        <f t="shared" ref="F79:I79" si="77">STANDARDIZE(B79,$L$7,$L$8)</f>
        <v>0.2834205934</v>
      </c>
      <c r="G79" s="20">
        <f t="shared" si="77"/>
        <v>4.745549738</v>
      </c>
      <c r="H79" s="20">
        <f t="shared" si="77"/>
        <v>0.3926701571</v>
      </c>
      <c r="I79" s="20">
        <f t="shared" si="77"/>
        <v>1.098429319</v>
      </c>
    </row>
    <row r="80" ht="15.75" customHeight="1">
      <c r="A80" s="10">
        <f>Dados!A82</f>
        <v>43944.66667</v>
      </c>
      <c r="B80" s="19">
        <f>Dados!B82</f>
        <v>45.07</v>
      </c>
      <c r="C80" s="19">
        <f>Dados!D82</f>
        <v>171.42</v>
      </c>
      <c r="D80" s="19">
        <f>Dados!F82</f>
        <v>47.04</v>
      </c>
      <c r="E80" s="19">
        <f>Dados!H82</f>
        <v>68.76</v>
      </c>
      <c r="F80" s="20">
        <f t="shared" ref="F80:I80" si="78">STANDARDIZE(B80,$L$7,$L$8)</f>
        <v>0.2621291449</v>
      </c>
      <c r="G80" s="20">
        <f t="shared" si="78"/>
        <v>4.672251309</v>
      </c>
      <c r="H80" s="20">
        <f t="shared" si="78"/>
        <v>0.3308900524</v>
      </c>
      <c r="I80" s="20">
        <f t="shared" si="78"/>
        <v>1.089005236</v>
      </c>
    </row>
    <row r="81" ht="15.75" customHeight="1">
      <c r="A81" s="10">
        <f>Dados!A83</f>
        <v>43945.66667</v>
      </c>
      <c r="B81" s="19">
        <f>Dados!B83</f>
        <v>45.43</v>
      </c>
      <c r="C81" s="19">
        <f>Dados!D83</f>
        <v>174.55</v>
      </c>
      <c r="D81" s="19">
        <f>Dados!F83</f>
        <v>48.34</v>
      </c>
      <c r="E81" s="19">
        <f>Dados!H83</f>
        <v>70.74</v>
      </c>
      <c r="F81" s="20">
        <f t="shared" ref="F81:I81" si="79">STANDARDIZE(B81,$L$7,$L$8)</f>
        <v>0.2746945899</v>
      </c>
      <c r="G81" s="20">
        <f t="shared" si="79"/>
        <v>4.781500873</v>
      </c>
      <c r="H81" s="20">
        <f t="shared" si="79"/>
        <v>0.3762652705</v>
      </c>
      <c r="I81" s="20">
        <f t="shared" si="79"/>
        <v>1.158115183</v>
      </c>
    </row>
    <row r="82" ht="15.75" customHeight="1">
      <c r="A82" s="10">
        <f>Dados!A84</f>
        <v>43948.66667</v>
      </c>
      <c r="B82" s="19">
        <f>Dados!B84</f>
        <v>46.78</v>
      </c>
      <c r="C82" s="19">
        <f>Dados!D84</f>
        <v>174.05</v>
      </c>
      <c r="D82" s="19">
        <f>Dados!F84</f>
        <v>53.25</v>
      </c>
      <c r="E82" s="19">
        <f>Dados!H84</f>
        <v>70.79</v>
      </c>
      <c r="F82" s="20">
        <f t="shared" ref="F82:I82" si="80">STANDARDIZE(B82,$L$7,$L$8)</f>
        <v>0.3218150087</v>
      </c>
      <c r="G82" s="20">
        <f t="shared" si="80"/>
        <v>4.764048866</v>
      </c>
      <c r="H82" s="20">
        <f t="shared" si="80"/>
        <v>0.5476439791</v>
      </c>
      <c r="I82" s="20">
        <f t="shared" si="80"/>
        <v>1.159860384</v>
      </c>
    </row>
    <row r="83" ht="15.75" customHeight="1">
      <c r="A83" s="10">
        <f>Dados!A85</f>
        <v>43949.66667</v>
      </c>
      <c r="B83" s="19">
        <f>Dados!B85</f>
        <v>46.74</v>
      </c>
      <c r="C83" s="19">
        <f>Dados!D85</f>
        <v>169.81</v>
      </c>
      <c r="D83" s="19">
        <f>Dados!F85</f>
        <v>51.27</v>
      </c>
      <c r="E83" s="19">
        <f>Dados!H85</f>
        <v>69.65</v>
      </c>
      <c r="F83" s="20">
        <f t="shared" ref="F83:I83" si="81">STANDARDIZE(B83,$L$7,$L$8)</f>
        <v>0.3204188482</v>
      </c>
      <c r="G83" s="20">
        <f t="shared" si="81"/>
        <v>4.616055846</v>
      </c>
      <c r="H83" s="20">
        <f t="shared" si="81"/>
        <v>0.4785340314</v>
      </c>
      <c r="I83" s="20">
        <f t="shared" si="81"/>
        <v>1.120069808</v>
      </c>
    </row>
    <row r="84" ht="15.75" customHeight="1">
      <c r="A84" s="10">
        <f>Dados!A86</f>
        <v>43950.66667</v>
      </c>
      <c r="B84" s="19">
        <f>Dados!B86</f>
        <v>47.12</v>
      </c>
      <c r="C84" s="19">
        <f>Dados!D86</f>
        <v>177.43</v>
      </c>
      <c r="D84" s="19">
        <f>Dados!F86</f>
        <v>53.37</v>
      </c>
      <c r="E84" s="19">
        <f>Dados!H86</f>
        <v>71.93</v>
      </c>
      <c r="F84" s="20">
        <f t="shared" ref="F84:I84" si="82">STANDARDIZE(B84,$L$7,$L$8)</f>
        <v>0.3336823735</v>
      </c>
      <c r="G84" s="20">
        <f t="shared" si="82"/>
        <v>4.882024433</v>
      </c>
      <c r="H84" s="20">
        <f t="shared" si="82"/>
        <v>0.5518324607</v>
      </c>
      <c r="I84" s="20">
        <f t="shared" si="82"/>
        <v>1.19965096</v>
      </c>
    </row>
    <row r="85" ht="15.75" customHeight="1">
      <c r="A85" s="10">
        <f>Dados!A87</f>
        <v>43951.66667</v>
      </c>
      <c r="B85" s="19">
        <f>Dados!B87</f>
        <v>45.89</v>
      </c>
      <c r="C85" s="19">
        <f>Dados!D87</f>
        <v>179.21</v>
      </c>
      <c r="D85" s="19">
        <f>Dados!F87</f>
        <v>52.13</v>
      </c>
      <c r="E85" s="19">
        <f>Dados!H87</f>
        <v>73.45</v>
      </c>
      <c r="F85" s="20">
        <f t="shared" ref="F85:I85" si="83">STANDARDIZE(B85,$L$7,$L$8)</f>
        <v>0.2907504363</v>
      </c>
      <c r="G85" s="20">
        <f t="shared" si="83"/>
        <v>4.944153578</v>
      </c>
      <c r="H85" s="20">
        <f t="shared" si="83"/>
        <v>0.5085514834</v>
      </c>
      <c r="I85" s="20">
        <f t="shared" si="83"/>
        <v>1.252705061</v>
      </c>
    </row>
    <row r="86" ht="15.75" customHeight="1">
      <c r="A86" s="10">
        <f>Dados!A88</f>
        <v>43952.66667</v>
      </c>
      <c r="B86" s="19">
        <f>Dados!B88</f>
        <v>45.6</v>
      </c>
      <c r="C86" s="19">
        <f>Dados!D88</f>
        <v>174.57</v>
      </c>
      <c r="D86" s="19">
        <f>Dados!F88</f>
        <v>46.75</v>
      </c>
      <c r="E86" s="19">
        <f>Dados!H88</f>
        <v>72.27</v>
      </c>
      <c r="F86" s="20">
        <f t="shared" ref="F86:I86" si="84">STANDARDIZE(B86,$L$7,$L$8)</f>
        <v>0.2806282723</v>
      </c>
      <c r="G86" s="20">
        <f t="shared" si="84"/>
        <v>4.782198953</v>
      </c>
      <c r="H86" s="20">
        <f t="shared" si="84"/>
        <v>0.3207678883</v>
      </c>
      <c r="I86" s="20">
        <f t="shared" si="84"/>
        <v>1.211518325</v>
      </c>
    </row>
    <row r="87" ht="15.75" customHeight="1">
      <c r="A87" s="10">
        <f>Dados!A89</f>
        <v>43955.66667</v>
      </c>
      <c r="B87" s="19">
        <f>Dados!B89</f>
        <v>45.14</v>
      </c>
      <c r="C87" s="19">
        <f>Dados!D89</f>
        <v>178.84</v>
      </c>
      <c r="D87" s="19">
        <f>Dados!F89</f>
        <v>50.75</v>
      </c>
      <c r="E87" s="19">
        <f>Dados!H89</f>
        <v>73.29</v>
      </c>
      <c r="F87" s="20">
        <f t="shared" ref="F87:I87" si="85">STANDARDIZE(B87,$L$7,$L$8)</f>
        <v>0.2645724258</v>
      </c>
      <c r="G87" s="20">
        <f t="shared" si="85"/>
        <v>4.931239092</v>
      </c>
      <c r="H87" s="20">
        <f t="shared" si="85"/>
        <v>0.4603839442</v>
      </c>
      <c r="I87" s="20">
        <f t="shared" si="85"/>
        <v>1.247120419</v>
      </c>
    </row>
    <row r="88" ht="15.75" customHeight="1">
      <c r="A88" s="10">
        <f>Dados!A90</f>
        <v>43956.66667</v>
      </c>
      <c r="B88" s="19">
        <f>Dados!B90</f>
        <v>45.4</v>
      </c>
      <c r="C88" s="19">
        <f>Dados!D90</f>
        <v>180.76</v>
      </c>
      <c r="D88" s="19">
        <f>Dados!F90</f>
        <v>51.21</v>
      </c>
      <c r="E88" s="19">
        <f>Dados!H90</f>
        <v>74.39</v>
      </c>
      <c r="F88" s="20">
        <f t="shared" ref="F88:I88" si="86">STANDARDIZE(B88,$L$7,$L$8)</f>
        <v>0.2736474695</v>
      </c>
      <c r="G88" s="20">
        <f t="shared" si="86"/>
        <v>4.998254799</v>
      </c>
      <c r="H88" s="20">
        <f t="shared" si="86"/>
        <v>0.4764397906</v>
      </c>
      <c r="I88" s="20">
        <f t="shared" si="86"/>
        <v>1.285514834</v>
      </c>
    </row>
    <row r="89" ht="15.75" customHeight="1">
      <c r="A89" s="10">
        <f>Dados!A91</f>
        <v>43957.66667</v>
      </c>
      <c r="B89" s="19">
        <f>Dados!B91</f>
        <v>44.75</v>
      </c>
      <c r="C89" s="19">
        <f>Dados!D91</f>
        <v>182.54</v>
      </c>
      <c r="D89" s="19">
        <f>Dados!F91</f>
        <v>52.17</v>
      </c>
      <c r="E89" s="19">
        <f>Dados!H91</f>
        <v>75.16</v>
      </c>
      <c r="F89" s="20">
        <f t="shared" ref="F89:I89" si="87">STANDARDIZE(B89,$L$7,$L$8)</f>
        <v>0.2509598604</v>
      </c>
      <c r="G89" s="20">
        <f t="shared" si="87"/>
        <v>5.060383944</v>
      </c>
      <c r="H89" s="20">
        <f t="shared" si="87"/>
        <v>0.509947644</v>
      </c>
      <c r="I89" s="20">
        <f t="shared" si="87"/>
        <v>1.312390925</v>
      </c>
    </row>
    <row r="90" ht="15.75" customHeight="1">
      <c r="A90" s="10">
        <f>Dados!A92</f>
        <v>43958.66667</v>
      </c>
      <c r="B90" s="19">
        <f>Dados!B92</f>
        <v>44.6</v>
      </c>
      <c r="C90" s="19">
        <f>Dados!D92</f>
        <v>183.6</v>
      </c>
      <c r="D90" s="19">
        <f>Dados!F92</f>
        <v>52</v>
      </c>
      <c r="E90" s="19">
        <f>Dados!H92</f>
        <v>75.94</v>
      </c>
      <c r="F90" s="20">
        <f t="shared" ref="F90:I90" si="88">STANDARDIZE(B90,$L$7,$L$8)</f>
        <v>0.2457242583</v>
      </c>
      <c r="G90" s="20">
        <f t="shared" si="88"/>
        <v>5.097382199</v>
      </c>
      <c r="H90" s="20">
        <f t="shared" si="88"/>
        <v>0.5040139616</v>
      </c>
      <c r="I90" s="20">
        <f t="shared" si="88"/>
        <v>1.339616056</v>
      </c>
    </row>
    <row r="91" ht="15.75" customHeight="1">
      <c r="A91" s="10">
        <f>Dados!A93</f>
        <v>43959.66667</v>
      </c>
      <c r="B91" s="19">
        <f>Dados!B93</f>
        <v>46.11</v>
      </c>
      <c r="C91" s="19">
        <f>Dados!D93</f>
        <v>184.68</v>
      </c>
      <c r="D91" s="19">
        <f>Dados!F93</f>
        <v>54.63</v>
      </c>
      <c r="E91" s="19">
        <f>Dados!H93</f>
        <v>77.53</v>
      </c>
      <c r="F91" s="20">
        <f t="shared" ref="F91:I91" si="89">STANDARDIZE(B91,$L$7,$L$8)</f>
        <v>0.2984293194</v>
      </c>
      <c r="G91" s="20">
        <f t="shared" si="89"/>
        <v>5.135078534</v>
      </c>
      <c r="H91" s="20">
        <f t="shared" si="89"/>
        <v>0.5958115183</v>
      </c>
      <c r="I91" s="20">
        <f t="shared" si="89"/>
        <v>1.395113438</v>
      </c>
    </row>
    <row r="92" ht="15.75" customHeight="1">
      <c r="A92" s="10">
        <f>Dados!A94</f>
        <v>43962.66667</v>
      </c>
      <c r="B92" s="19">
        <f>Dados!B94</f>
        <v>45.54</v>
      </c>
      <c r="C92" s="19">
        <f>Dados!D94</f>
        <v>186.74</v>
      </c>
      <c r="D92" s="19">
        <f>Dados!F94</f>
        <v>54.09</v>
      </c>
      <c r="E92" s="19">
        <f>Dados!H94</f>
        <v>78.75</v>
      </c>
      <c r="F92" s="20">
        <f t="shared" ref="F92:I92" si="90">STANDARDIZE(B92,$L$7,$L$8)</f>
        <v>0.2785340314</v>
      </c>
      <c r="G92" s="20">
        <f t="shared" si="90"/>
        <v>5.206980803</v>
      </c>
      <c r="H92" s="20">
        <f t="shared" si="90"/>
        <v>0.5769633508</v>
      </c>
      <c r="I92" s="20">
        <f t="shared" si="90"/>
        <v>1.437696335</v>
      </c>
    </row>
    <row r="93" ht="15.75" customHeight="1">
      <c r="A93" s="10">
        <f>Dados!A95</f>
        <v>43963.66667</v>
      </c>
      <c r="B93" s="19">
        <f>Dados!B95</f>
        <v>44.82</v>
      </c>
      <c r="C93" s="19">
        <f>Dados!D95</f>
        <v>182.51</v>
      </c>
      <c r="D93" s="19">
        <f>Dados!F95</f>
        <v>53.96</v>
      </c>
      <c r="E93" s="19">
        <f>Dados!H95</f>
        <v>77.85</v>
      </c>
      <c r="F93" s="20">
        <f t="shared" ref="F93:I93" si="91">STANDARDIZE(B93,$L$7,$L$8)</f>
        <v>0.2534031414</v>
      </c>
      <c r="G93" s="20">
        <f t="shared" si="91"/>
        <v>5.059336824</v>
      </c>
      <c r="H93" s="20">
        <f t="shared" si="91"/>
        <v>0.572425829</v>
      </c>
      <c r="I93" s="20">
        <f t="shared" si="91"/>
        <v>1.406282723</v>
      </c>
    </row>
    <row r="94" ht="15.75" customHeight="1">
      <c r="A94" s="10">
        <f>Dados!A96</f>
        <v>43964.66667</v>
      </c>
      <c r="B94" s="19">
        <f>Dados!B96</f>
        <v>43.94</v>
      </c>
      <c r="C94" s="19">
        <f>Dados!D96</f>
        <v>179.75</v>
      </c>
      <c r="D94" s="19">
        <f>Dados!F96</f>
        <v>52.73</v>
      </c>
      <c r="E94" s="19">
        <f>Dados!H96</f>
        <v>76.91</v>
      </c>
      <c r="F94" s="20">
        <f t="shared" ref="F94:I94" si="92">STANDARDIZE(B94,$L$7,$L$8)</f>
        <v>0.2226876091</v>
      </c>
      <c r="G94" s="20">
        <f t="shared" si="92"/>
        <v>4.963001745</v>
      </c>
      <c r="H94" s="20">
        <f t="shared" si="92"/>
        <v>0.5294938918</v>
      </c>
      <c r="I94" s="20">
        <f t="shared" si="92"/>
        <v>1.373472949</v>
      </c>
    </row>
    <row r="95" ht="15.75" customHeight="1">
      <c r="A95" s="10">
        <f>Dados!A97</f>
        <v>43965.66667</v>
      </c>
      <c r="B95" s="19">
        <f>Dados!B97</f>
        <v>43.7</v>
      </c>
      <c r="C95" s="19">
        <f>Dados!D97</f>
        <v>180.53</v>
      </c>
      <c r="D95" s="19">
        <f>Dados!F97</f>
        <v>53.56</v>
      </c>
      <c r="E95" s="19">
        <f>Dados!H97</f>
        <v>77.39</v>
      </c>
      <c r="F95" s="20">
        <f t="shared" ref="F95:I95" si="93">STANDARDIZE(B95,$L$7,$L$8)</f>
        <v>0.2143106457</v>
      </c>
      <c r="G95" s="20">
        <f t="shared" si="93"/>
        <v>4.990226876</v>
      </c>
      <c r="H95" s="20">
        <f t="shared" si="93"/>
        <v>0.5584642234</v>
      </c>
      <c r="I95" s="20">
        <f t="shared" si="93"/>
        <v>1.390226876</v>
      </c>
    </row>
    <row r="96" ht="15.75" customHeight="1">
      <c r="A96" s="10">
        <f>Dados!A98</f>
        <v>43966.66667</v>
      </c>
      <c r="B96" s="19">
        <f>Dados!B98</f>
        <v>43.26</v>
      </c>
      <c r="C96" s="19">
        <f>Dados!D98</f>
        <v>183.16</v>
      </c>
      <c r="D96" s="19">
        <f>Dados!F98</f>
        <v>53.28</v>
      </c>
      <c r="E96" s="19">
        <f>Dados!H98</f>
        <v>76.93</v>
      </c>
      <c r="F96" s="20">
        <f t="shared" ref="F96:I96" si="94">STANDARDIZE(B96,$L$7,$L$8)</f>
        <v>0.1989528796</v>
      </c>
      <c r="G96" s="20">
        <f t="shared" si="94"/>
        <v>5.082024433</v>
      </c>
      <c r="H96" s="20">
        <f t="shared" si="94"/>
        <v>0.5486910995</v>
      </c>
      <c r="I96" s="20">
        <f t="shared" si="94"/>
        <v>1.37417103</v>
      </c>
    </row>
    <row r="97" ht="15.75" customHeight="1">
      <c r="A97" s="10">
        <f>Dados!A99</f>
        <v>43969.66667</v>
      </c>
      <c r="B97" s="19">
        <f>Dados!B99</f>
        <v>44.97</v>
      </c>
      <c r="C97" s="19">
        <f>Dados!D99</f>
        <v>184.91</v>
      </c>
      <c r="D97" s="19">
        <f>Dados!F99</f>
        <v>54.24</v>
      </c>
      <c r="E97" s="19">
        <f>Dados!H99</f>
        <v>78.74</v>
      </c>
      <c r="F97" s="20">
        <f t="shared" ref="F97:I97" si="95">STANDARDIZE(B97,$L$7,$L$8)</f>
        <v>0.2586387435</v>
      </c>
      <c r="G97" s="20">
        <f t="shared" si="95"/>
        <v>5.143106457</v>
      </c>
      <c r="H97" s="20">
        <f t="shared" si="95"/>
        <v>0.5821989529</v>
      </c>
      <c r="I97" s="20">
        <f t="shared" si="95"/>
        <v>1.437347295</v>
      </c>
    </row>
    <row r="98" ht="15.75" customHeight="1">
      <c r="A98" s="10">
        <f>Dados!A100</f>
        <v>43970.66667</v>
      </c>
      <c r="B98" s="19">
        <f>Dados!B100</f>
        <v>44.54</v>
      </c>
      <c r="C98" s="19">
        <f>Dados!D100</f>
        <v>183.63</v>
      </c>
      <c r="D98" s="19">
        <f>Dados!F100</f>
        <v>53.87</v>
      </c>
      <c r="E98" s="19">
        <f>Dados!H100</f>
        <v>78.29</v>
      </c>
      <c r="F98" s="20">
        <f t="shared" ref="F98:I98" si="96">STANDARDIZE(B98,$L$7,$L$8)</f>
        <v>0.2436300175</v>
      </c>
      <c r="G98" s="20">
        <f t="shared" si="96"/>
        <v>5.098429319</v>
      </c>
      <c r="H98" s="20">
        <f t="shared" si="96"/>
        <v>0.5692844677</v>
      </c>
      <c r="I98" s="20">
        <f t="shared" si="96"/>
        <v>1.421640489</v>
      </c>
    </row>
    <row r="99" ht="15.75" customHeight="1">
      <c r="A99" s="10">
        <f>Dados!A101</f>
        <v>43971.66667</v>
      </c>
      <c r="B99" s="19">
        <f>Dados!B101</f>
        <v>45.89</v>
      </c>
      <c r="C99" s="19">
        <f>Dados!D101</f>
        <v>185.66</v>
      </c>
      <c r="D99" s="19">
        <f>Dados!F101</f>
        <v>54.37</v>
      </c>
      <c r="E99" s="19">
        <f>Dados!H101</f>
        <v>79.81</v>
      </c>
      <c r="F99" s="20">
        <f t="shared" ref="F99:I99" si="97">STANDARDIZE(B99,$L$7,$L$8)</f>
        <v>0.2907504363</v>
      </c>
      <c r="G99" s="20">
        <f t="shared" si="97"/>
        <v>5.169284468</v>
      </c>
      <c r="H99" s="20">
        <f t="shared" si="97"/>
        <v>0.5867364747</v>
      </c>
      <c r="I99" s="20">
        <f t="shared" si="97"/>
        <v>1.47469459</v>
      </c>
    </row>
    <row r="100" ht="15.75" customHeight="1">
      <c r="A100" s="10">
        <f>Dados!A102</f>
        <v>43972.66667</v>
      </c>
      <c r="B100" s="19">
        <f>Dados!B102</f>
        <v>45.17</v>
      </c>
      <c r="C100" s="19">
        <f>Dados!D102</f>
        <v>183.43</v>
      </c>
      <c r="D100" s="19">
        <f>Dados!F102</f>
        <v>55.17</v>
      </c>
      <c r="E100" s="19">
        <f>Dados!H102</f>
        <v>79.21</v>
      </c>
      <c r="F100" s="20">
        <f t="shared" ref="F100:I100" si="98">STANDARDIZE(B100,$L$7,$L$8)</f>
        <v>0.2656195462</v>
      </c>
      <c r="G100" s="20">
        <f t="shared" si="98"/>
        <v>5.091448517</v>
      </c>
      <c r="H100" s="20">
        <f t="shared" si="98"/>
        <v>0.6146596859</v>
      </c>
      <c r="I100" s="20">
        <f t="shared" si="98"/>
        <v>1.453752182</v>
      </c>
    </row>
    <row r="101" ht="15.75" customHeight="1">
      <c r="A101" s="10">
        <f>Dados!A103</f>
        <v>43973.66667</v>
      </c>
      <c r="B101" s="19">
        <f>Dados!B103</f>
        <v>45.03</v>
      </c>
      <c r="C101" s="19">
        <f>Dados!D103</f>
        <v>183.51</v>
      </c>
      <c r="D101" s="19">
        <f>Dados!F103</f>
        <v>54.46</v>
      </c>
      <c r="E101" s="19">
        <f>Dados!H103</f>
        <v>79.72</v>
      </c>
      <c r="F101" s="20">
        <f t="shared" ref="F101:I101" si="99">STANDARDIZE(B101,$L$7,$L$8)</f>
        <v>0.2607329843</v>
      </c>
      <c r="G101" s="20">
        <f t="shared" si="99"/>
        <v>5.094240838</v>
      </c>
      <c r="H101" s="20">
        <f t="shared" si="99"/>
        <v>0.589877836</v>
      </c>
      <c r="I101" s="20">
        <f t="shared" si="99"/>
        <v>1.471553229</v>
      </c>
    </row>
    <row r="102" ht="15.75" customHeight="1">
      <c r="A102" s="10">
        <f>Dados!A104</f>
        <v>43977.66667</v>
      </c>
      <c r="B102" s="19">
        <f>Dados!B104</f>
        <v>46.09</v>
      </c>
      <c r="C102" s="19">
        <f>Dados!D104</f>
        <v>181.57</v>
      </c>
      <c r="D102" s="19">
        <f>Dados!F104</f>
        <v>54.59</v>
      </c>
      <c r="E102" s="19">
        <f>Dados!H104</f>
        <v>79.18</v>
      </c>
      <c r="F102" s="20">
        <f t="shared" ref="F102:I102" si="100">STANDARDIZE(B102,$L$7,$L$8)</f>
        <v>0.2977312391</v>
      </c>
      <c r="G102" s="20">
        <f t="shared" si="100"/>
        <v>5.026527051</v>
      </c>
      <c r="H102" s="20">
        <f t="shared" si="100"/>
        <v>0.5944153578</v>
      </c>
      <c r="I102" s="20">
        <f t="shared" si="100"/>
        <v>1.452705061</v>
      </c>
    </row>
    <row r="103" ht="15.75" customHeight="1">
      <c r="A103" s="10">
        <f>Dados!A105</f>
        <v>43978.66667</v>
      </c>
      <c r="B103" s="19">
        <f>Dados!B105</f>
        <v>46.73</v>
      </c>
      <c r="C103" s="19">
        <f>Dados!D105</f>
        <v>181.81</v>
      </c>
      <c r="D103" s="19">
        <f>Dados!F105</f>
        <v>54.68</v>
      </c>
      <c r="E103" s="19">
        <f>Dados!H105</f>
        <v>79.53</v>
      </c>
      <c r="F103" s="20">
        <f t="shared" ref="F103:I103" si="101">STANDARDIZE(B103,$L$7,$L$8)</f>
        <v>0.320069808</v>
      </c>
      <c r="G103" s="20">
        <f t="shared" si="101"/>
        <v>5.034904014</v>
      </c>
      <c r="H103" s="20">
        <f t="shared" si="101"/>
        <v>0.597556719</v>
      </c>
      <c r="I103" s="20">
        <f t="shared" si="101"/>
        <v>1.464921466</v>
      </c>
    </row>
    <row r="104" ht="15.75" customHeight="1">
      <c r="A104" s="10">
        <f>Dados!A106</f>
        <v>43979.66667</v>
      </c>
      <c r="B104" s="19">
        <f>Dados!B106</f>
        <v>47.09</v>
      </c>
      <c r="C104" s="19">
        <f>Dados!D106</f>
        <v>181.4</v>
      </c>
      <c r="D104" s="19">
        <f>Dados!F106</f>
        <v>53.72</v>
      </c>
      <c r="E104" s="19">
        <f>Dados!H106</f>
        <v>79.56</v>
      </c>
      <c r="F104" s="20">
        <f t="shared" ref="F104:I104" si="102">STANDARDIZE(B104,$L$7,$L$8)</f>
        <v>0.3326352531</v>
      </c>
      <c r="G104" s="20">
        <f t="shared" si="102"/>
        <v>5.020593368</v>
      </c>
      <c r="H104" s="20">
        <f t="shared" si="102"/>
        <v>0.5640488656</v>
      </c>
      <c r="I104" s="20">
        <f t="shared" si="102"/>
        <v>1.465968586</v>
      </c>
    </row>
    <row r="105" ht="15.75" customHeight="1">
      <c r="A105" s="10">
        <f>Dados!A107</f>
        <v>43980.66667</v>
      </c>
      <c r="B105" s="19">
        <f>Dados!B107</f>
        <v>46.68</v>
      </c>
      <c r="C105" s="19">
        <f>Dados!D107</f>
        <v>183.25</v>
      </c>
      <c r="D105" s="19">
        <f>Dados!F107</f>
        <v>55.67</v>
      </c>
      <c r="E105" s="19">
        <f>Dados!H107</f>
        <v>79.49</v>
      </c>
      <c r="F105" s="20">
        <f t="shared" ref="F105:I105" si="103">STANDARDIZE(B105,$L$7,$L$8)</f>
        <v>0.3183246073</v>
      </c>
      <c r="G105" s="20">
        <f t="shared" si="103"/>
        <v>5.085165794</v>
      </c>
      <c r="H105" s="20">
        <f t="shared" si="103"/>
        <v>0.6321116928</v>
      </c>
      <c r="I105" s="20">
        <f t="shared" si="103"/>
        <v>1.463525305</v>
      </c>
    </row>
    <row r="106" ht="15.75" customHeight="1">
      <c r="A106" s="10">
        <f>Dados!A108</f>
        <v>43983.66667</v>
      </c>
      <c r="B106" s="19">
        <f>Dados!B108</f>
        <v>46.99</v>
      </c>
      <c r="C106" s="19">
        <f>Dados!D108</f>
        <v>182.83</v>
      </c>
      <c r="D106" s="19">
        <f>Dados!F108</f>
        <v>59.87</v>
      </c>
      <c r="E106" s="19">
        <f>Dados!H108</f>
        <v>80.46</v>
      </c>
      <c r="F106" s="20">
        <f t="shared" ref="F106:I106" si="104">STANDARDIZE(B106,$L$7,$L$8)</f>
        <v>0.3291448517</v>
      </c>
      <c r="G106" s="20">
        <f t="shared" si="104"/>
        <v>5.070506108</v>
      </c>
      <c r="H106" s="20">
        <f t="shared" si="104"/>
        <v>0.7787085515</v>
      </c>
      <c r="I106" s="20">
        <f t="shared" si="104"/>
        <v>1.497382199</v>
      </c>
    </row>
    <row r="107" ht="15.75" customHeight="1">
      <c r="A107" s="10">
        <f>Dados!A109</f>
        <v>43984.66667</v>
      </c>
      <c r="B107" s="19">
        <f>Dados!B109</f>
        <v>46.9</v>
      </c>
      <c r="C107" s="19">
        <f>Dados!D109</f>
        <v>184.91</v>
      </c>
      <c r="D107" s="19">
        <f>Dados!F109</f>
        <v>58.77</v>
      </c>
      <c r="E107" s="19">
        <f>Dados!H109</f>
        <v>80.83</v>
      </c>
      <c r="F107" s="20">
        <f t="shared" ref="F107:I107" si="105">STANDARDIZE(B107,$L$7,$L$8)</f>
        <v>0.3260034904</v>
      </c>
      <c r="G107" s="20">
        <f t="shared" si="105"/>
        <v>5.143106457</v>
      </c>
      <c r="H107" s="20">
        <f t="shared" si="105"/>
        <v>0.7403141361</v>
      </c>
      <c r="I107" s="20">
        <f t="shared" si="105"/>
        <v>1.510296684</v>
      </c>
    </row>
    <row r="108" ht="15.75" customHeight="1">
      <c r="A108" s="10">
        <f>Dados!A110</f>
        <v>43985.66667</v>
      </c>
      <c r="B108" s="19">
        <f>Dados!B110</f>
        <v>47.9</v>
      </c>
      <c r="C108" s="19">
        <f>Dados!D110</f>
        <v>185.36</v>
      </c>
      <c r="D108" s="19">
        <f>Dados!F110</f>
        <v>58.86</v>
      </c>
      <c r="E108" s="19">
        <f>Dados!H110</f>
        <v>81.28</v>
      </c>
      <c r="F108" s="20">
        <f t="shared" ref="F108:I108" si="106">STANDARDIZE(B108,$L$7,$L$8)</f>
        <v>0.3609075044</v>
      </c>
      <c r="G108" s="20">
        <f t="shared" si="106"/>
        <v>5.158813264</v>
      </c>
      <c r="H108" s="20">
        <f t="shared" si="106"/>
        <v>0.7434554974</v>
      </c>
      <c r="I108" s="20">
        <f t="shared" si="106"/>
        <v>1.52600349</v>
      </c>
    </row>
    <row r="109" ht="15.75" customHeight="1">
      <c r="A109" s="10">
        <f>Dados!A111</f>
        <v>43986.66667</v>
      </c>
      <c r="B109" s="19">
        <f>Dados!B111</f>
        <v>47.92</v>
      </c>
      <c r="C109" s="19">
        <f>Dados!D111</f>
        <v>182.92</v>
      </c>
      <c r="D109" s="19">
        <f>Dados!F111</f>
        <v>57.63</v>
      </c>
      <c r="E109" s="19">
        <f>Dados!H111</f>
        <v>80.58</v>
      </c>
      <c r="F109" s="20">
        <f t="shared" ref="F109:I109" si="107">STANDARDIZE(B109,$L$7,$L$8)</f>
        <v>0.3616055846</v>
      </c>
      <c r="G109" s="20">
        <f t="shared" si="107"/>
        <v>5.073647469</v>
      </c>
      <c r="H109" s="20">
        <f t="shared" si="107"/>
        <v>0.7005235602</v>
      </c>
      <c r="I109" s="20">
        <f t="shared" si="107"/>
        <v>1.501570681</v>
      </c>
    </row>
    <row r="110" ht="15.75" customHeight="1">
      <c r="A110" s="10">
        <f>Dados!A112</f>
        <v>43987.66667</v>
      </c>
      <c r="B110" s="19">
        <f>Dados!B112</f>
        <v>49.09</v>
      </c>
      <c r="C110" s="19">
        <f>Dados!D112</f>
        <v>187.2</v>
      </c>
      <c r="D110" s="19">
        <f>Dados!F112</f>
        <v>59.04</v>
      </c>
      <c r="E110" s="19">
        <f>Dados!H112</f>
        <v>82.88</v>
      </c>
      <c r="F110" s="20">
        <f t="shared" ref="F110:I110" si="108">STANDARDIZE(B110,$L$7,$L$8)</f>
        <v>0.402443281</v>
      </c>
      <c r="G110" s="20">
        <f t="shared" si="108"/>
        <v>5.223036649</v>
      </c>
      <c r="H110" s="20">
        <f t="shared" si="108"/>
        <v>0.7497382199</v>
      </c>
      <c r="I110" s="20">
        <f t="shared" si="108"/>
        <v>1.581849913</v>
      </c>
    </row>
    <row r="111" ht="15.75" customHeight="1">
      <c r="A111" s="10">
        <f>Dados!A113</f>
        <v>43990.66667</v>
      </c>
      <c r="B111" s="19">
        <f>Dados!B113</f>
        <v>49.85</v>
      </c>
      <c r="C111" s="19">
        <f>Dados!D113</f>
        <v>188.36</v>
      </c>
      <c r="D111" s="19">
        <f>Dados!F113</f>
        <v>63.33</v>
      </c>
      <c r="E111" s="19">
        <f>Dados!H113</f>
        <v>83.37</v>
      </c>
      <c r="F111" s="20">
        <f t="shared" ref="F111:I111" si="109">STANDARDIZE(B111,$L$7,$L$8)</f>
        <v>0.4289703316</v>
      </c>
      <c r="G111" s="20">
        <f t="shared" si="109"/>
        <v>5.263525305</v>
      </c>
      <c r="H111" s="20">
        <f t="shared" si="109"/>
        <v>0.8994764398</v>
      </c>
      <c r="I111" s="20">
        <f t="shared" si="109"/>
        <v>1.59895288</v>
      </c>
    </row>
    <row r="112" ht="15.75" customHeight="1">
      <c r="A112" s="10">
        <f>Dados!A114</f>
        <v>43991.66667</v>
      </c>
      <c r="B112" s="19">
        <f>Dados!B114</f>
        <v>49</v>
      </c>
      <c r="C112" s="19">
        <f>Dados!D114</f>
        <v>189.8</v>
      </c>
      <c r="D112" s="19">
        <f>Dados!F114</f>
        <v>62.71</v>
      </c>
      <c r="E112" s="19">
        <f>Dados!H114</f>
        <v>86</v>
      </c>
      <c r="F112" s="20">
        <f t="shared" ref="F112:I112" si="110">STANDARDIZE(B112,$L$7,$L$8)</f>
        <v>0.3993019197</v>
      </c>
      <c r="G112" s="20">
        <f t="shared" si="110"/>
        <v>5.313787086</v>
      </c>
      <c r="H112" s="20">
        <f t="shared" si="110"/>
        <v>0.8778359511</v>
      </c>
      <c r="I112" s="20">
        <f t="shared" si="110"/>
        <v>1.690750436</v>
      </c>
    </row>
    <row r="113" ht="15.75" customHeight="1">
      <c r="A113" s="10">
        <f>Dados!A115</f>
        <v>43992.66667</v>
      </c>
      <c r="B113" s="19">
        <f>Dados!B115</f>
        <v>48.62</v>
      </c>
      <c r="C113" s="19">
        <f>Dados!D115</f>
        <v>196.84</v>
      </c>
      <c r="D113" s="19">
        <f>Dados!F115</f>
        <v>68.34</v>
      </c>
      <c r="E113" s="19">
        <f>Dados!H115</f>
        <v>88.21</v>
      </c>
      <c r="F113" s="20">
        <f t="shared" ref="F113:I113" si="111">STANDARDIZE(B113,$L$7,$L$8)</f>
        <v>0.3860383944</v>
      </c>
      <c r="G113" s="20">
        <f t="shared" si="111"/>
        <v>5.559511344</v>
      </c>
      <c r="H113" s="20">
        <f t="shared" si="111"/>
        <v>1.07434555</v>
      </c>
      <c r="I113" s="20">
        <f t="shared" si="111"/>
        <v>1.767888307</v>
      </c>
    </row>
    <row r="114" ht="15.75" customHeight="1">
      <c r="A114" s="10">
        <f>Dados!A116</f>
        <v>43993.66667</v>
      </c>
      <c r="B114" s="19">
        <f>Dados!B116</f>
        <v>45.54</v>
      </c>
      <c r="C114" s="19">
        <f>Dados!D116</f>
        <v>186.27</v>
      </c>
      <c r="D114" s="19">
        <f>Dados!F116</f>
        <v>64.86</v>
      </c>
      <c r="E114" s="19">
        <f>Dados!H116</f>
        <v>83.98</v>
      </c>
      <c r="F114" s="20">
        <f t="shared" ref="F114:I114" si="112">STANDARDIZE(B114,$L$7,$L$8)</f>
        <v>0.2785340314</v>
      </c>
      <c r="G114" s="20">
        <f t="shared" si="112"/>
        <v>5.190575916</v>
      </c>
      <c r="H114" s="20">
        <f t="shared" si="112"/>
        <v>0.9528795812</v>
      </c>
      <c r="I114" s="20">
        <f t="shared" si="112"/>
        <v>1.620244328</v>
      </c>
    </row>
    <row r="115" ht="15.75" customHeight="1">
      <c r="A115" s="10">
        <f>Dados!A117</f>
        <v>43994.66667</v>
      </c>
      <c r="B115" s="19">
        <f>Dados!B117</f>
        <v>45.6</v>
      </c>
      <c r="C115" s="19">
        <f>Dados!D117</f>
        <v>187.74</v>
      </c>
      <c r="D115" s="19">
        <f>Dados!F117</f>
        <v>62.35</v>
      </c>
      <c r="E115" s="19">
        <f>Dados!H117</f>
        <v>84.7</v>
      </c>
      <c r="F115" s="20">
        <f t="shared" ref="F115:I115" si="113">STANDARDIZE(B115,$L$7,$L$8)</f>
        <v>0.2806282723</v>
      </c>
      <c r="G115" s="20">
        <f t="shared" si="113"/>
        <v>5.241884817</v>
      </c>
      <c r="H115" s="20">
        <f t="shared" si="113"/>
        <v>0.8652705061</v>
      </c>
      <c r="I115" s="20">
        <f t="shared" si="113"/>
        <v>1.645375218</v>
      </c>
    </row>
    <row r="116" ht="15.75" customHeight="1">
      <c r="A116" s="10">
        <f>Dados!A118</f>
        <v>43997.66667</v>
      </c>
      <c r="B116" s="19">
        <f>Dados!B118</f>
        <v>46.3</v>
      </c>
      <c r="C116" s="19">
        <f>Dados!D118</f>
        <v>188.94</v>
      </c>
      <c r="D116" s="19">
        <f>Dados!F118</f>
        <v>66.06</v>
      </c>
      <c r="E116" s="19">
        <f>Dados!H118</f>
        <v>85.75</v>
      </c>
      <c r="F116" s="20">
        <f t="shared" ref="F116:I116" si="114">STANDARDIZE(B116,$L$7,$L$8)</f>
        <v>0.305061082</v>
      </c>
      <c r="G116" s="20">
        <f t="shared" si="114"/>
        <v>5.283769634</v>
      </c>
      <c r="H116" s="20">
        <f t="shared" si="114"/>
        <v>0.9947643979</v>
      </c>
      <c r="I116" s="20">
        <f t="shared" si="114"/>
        <v>1.682024433</v>
      </c>
    </row>
    <row r="117" ht="15.75" customHeight="1">
      <c r="A117" s="10">
        <f>Dados!A119</f>
        <v>43998.66667</v>
      </c>
      <c r="B117" s="19">
        <f>Dados!B119</f>
        <v>46.77</v>
      </c>
      <c r="C117" s="19">
        <f>Dados!D119</f>
        <v>193.57</v>
      </c>
      <c r="D117" s="19">
        <f>Dados!F119</f>
        <v>65.48</v>
      </c>
      <c r="E117" s="19">
        <f>Dados!H119</f>
        <v>88.02</v>
      </c>
      <c r="F117" s="20">
        <f t="shared" ref="F117:I117" si="115">STANDARDIZE(B117,$L$7,$L$8)</f>
        <v>0.3214659686</v>
      </c>
      <c r="G117" s="20">
        <f t="shared" si="115"/>
        <v>5.445375218</v>
      </c>
      <c r="H117" s="20">
        <f t="shared" si="115"/>
        <v>0.9745200698</v>
      </c>
      <c r="I117" s="20">
        <f t="shared" si="115"/>
        <v>1.761256545</v>
      </c>
    </row>
    <row r="118" ht="15.75" customHeight="1">
      <c r="A118" s="10">
        <f>Dados!A120</f>
        <v>43999.66667</v>
      </c>
      <c r="B118" s="19">
        <f>Dados!B120</f>
        <v>46.58</v>
      </c>
      <c r="C118" s="19">
        <f>Dados!D120</f>
        <v>194.24</v>
      </c>
      <c r="D118" s="19">
        <f>Dados!F120</f>
        <v>66.12</v>
      </c>
      <c r="E118" s="19">
        <f>Dados!H120</f>
        <v>87.9</v>
      </c>
      <c r="F118" s="20">
        <f t="shared" ref="F118:I118" si="116">STANDARDIZE(B118,$L$7,$L$8)</f>
        <v>0.3148342059</v>
      </c>
      <c r="G118" s="20">
        <f t="shared" si="116"/>
        <v>5.468760908</v>
      </c>
      <c r="H118" s="20">
        <f t="shared" si="116"/>
        <v>0.9968586387</v>
      </c>
      <c r="I118" s="20">
        <f t="shared" si="116"/>
        <v>1.757068063</v>
      </c>
    </row>
    <row r="119" ht="15.75" customHeight="1">
      <c r="A119" s="10">
        <f>Dados!A121</f>
        <v>44000.66667</v>
      </c>
      <c r="B119" s="19">
        <f>Dados!B121</f>
        <v>46.99</v>
      </c>
      <c r="C119" s="19">
        <f>Dados!D121</f>
        <v>196.32</v>
      </c>
      <c r="D119" s="19">
        <f>Dados!F121</f>
        <v>66.93</v>
      </c>
      <c r="E119" s="19">
        <f>Dados!H121</f>
        <v>87.93</v>
      </c>
      <c r="F119" s="20">
        <f t="shared" ref="F119:I119" si="117">STANDARDIZE(B119,$L$7,$L$8)</f>
        <v>0.3291448517</v>
      </c>
      <c r="G119" s="20">
        <f t="shared" si="117"/>
        <v>5.541361257</v>
      </c>
      <c r="H119" s="20">
        <f t="shared" si="117"/>
        <v>1.02513089</v>
      </c>
      <c r="I119" s="20">
        <f t="shared" si="117"/>
        <v>1.758115183</v>
      </c>
    </row>
    <row r="120" ht="15.75" customHeight="1">
      <c r="A120" s="10">
        <f>Dados!A122</f>
        <v>44001.66667</v>
      </c>
      <c r="B120" s="19">
        <f>Dados!B122</f>
        <v>46.02</v>
      </c>
      <c r="C120" s="19">
        <f>Dados!D122</f>
        <v>195.15</v>
      </c>
      <c r="D120" s="19">
        <f>Dados!F122</f>
        <v>66.73</v>
      </c>
      <c r="E120" s="19">
        <f>Dados!H122</f>
        <v>87.43</v>
      </c>
      <c r="F120" s="20">
        <f t="shared" ref="F120:I120" si="118">STANDARDIZE(B120,$L$7,$L$8)</f>
        <v>0.2952879581</v>
      </c>
      <c r="G120" s="20">
        <f t="shared" si="118"/>
        <v>5.50052356</v>
      </c>
      <c r="H120" s="20">
        <f t="shared" si="118"/>
        <v>1.018150087</v>
      </c>
      <c r="I120" s="20">
        <f t="shared" si="118"/>
        <v>1.740663176</v>
      </c>
    </row>
    <row r="121" ht="15.75" customHeight="1">
      <c r="A121" s="10">
        <f>Dados!A123</f>
        <v>44004.66667</v>
      </c>
      <c r="B121" s="19">
        <f>Dados!B123</f>
        <v>45.74</v>
      </c>
      <c r="C121" s="19">
        <f>Dados!D123</f>
        <v>200.57</v>
      </c>
      <c r="D121" s="19">
        <f>Dados!F123</f>
        <v>66.29</v>
      </c>
      <c r="E121" s="19">
        <f>Dados!H123</f>
        <v>89.72</v>
      </c>
      <c r="F121" s="20">
        <f t="shared" ref="F121:I121" si="119">STANDARDIZE(B121,$L$7,$L$8)</f>
        <v>0.2855148342</v>
      </c>
      <c r="G121" s="20">
        <f t="shared" si="119"/>
        <v>5.689703316</v>
      </c>
      <c r="H121" s="20">
        <f t="shared" si="119"/>
        <v>1.002792321</v>
      </c>
      <c r="I121" s="20">
        <f t="shared" si="119"/>
        <v>1.820593368</v>
      </c>
    </row>
    <row r="122" ht="15.75" customHeight="1">
      <c r="A122" s="10">
        <f>Dados!A124</f>
        <v>44005.66667</v>
      </c>
      <c r="B122" s="19">
        <f>Dados!B124</f>
        <v>45.64</v>
      </c>
      <c r="C122" s="19">
        <f>Dados!D124</f>
        <v>201.91</v>
      </c>
      <c r="D122" s="19">
        <f>Dados!F124</f>
        <v>66.79</v>
      </c>
      <c r="E122" s="19">
        <f>Dados!H124</f>
        <v>91.63</v>
      </c>
      <c r="F122" s="20">
        <f t="shared" ref="F122:I122" si="120">STANDARDIZE(B122,$L$7,$L$8)</f>
        <v>0.2820244328</v>
      </c>
      <c r="G122" s="20">
        <f t="shared" si="120"/>
        <v>5.736474695</v>
      </c>
      <c r="H122" s="20">
        <f t="shared" si="120"/>
        <v>1.020244328</v>
      </c>
      <c r="I122" s="20">
        <f t="shared" si="120"/>
        <v>1.887260035</v>
      </c>
    </row>
    <row r="123" ht="15.75" customHeight="1">
      <c r="A123" s="10">
        <f>Dados!A125</f>
        <v>44006.66667</v>
      </c>
      <c r="B123" s="19">
        <f>Dados!B125</f>
        <v>44.65</v>
      </c>
      <c r="C123" s="19">
        <f>Dados!D125</f>
        <v>197.84</v>
      </c>
      <c r="D123" s="19">
        <f>Dados!F125</f>
        <v>64.06</v>
      </c>
      <c r="E123" s="19">
        <f>Dados!H125</f>
        <v>90.02</v>
      </c>
      <c r="F123" s="20">
        <f t="shared" ref="F123:I123" si="121">STANDARDIZE(B123,$L$7,$L$8)</f>
        <v>0.247469459</v>
      </c>
      <c r="G123" s="20">
        <f t="shared" si="121"/>
        <v>5.594415358</v>
      </c>
      <c r="H123" s="20">
        <f t="shared" si="121"/>
        <v>0.92495637</v>
      </c>
      <c r="I123" s="20">
        <f t="shared" si="121"/>
        <v>1.831064572</v>
      </c>
    </row>
    <row r="124" ht="15.75" customHeight="1">
      <c r="A124" s="10">
        <f>Dados!A126</f>
        <v>44007.66667</v>
      </c>
      <c r="B124" s="19">
        <f>Dados!B126</f>
        <v>44.93</v>
      </c>
      <c r="C124" s="19">
        <f>Dados!D126</f>
        <v>200.34</v>
      </c>
      <c r="D124" s="19">
        <f>Dados!F126</f>
        <v>65.73</v>
      </c>
      <c r="E124" s="19">
        <f>Dados!H126</f>
        <v>91.21</v>
      </c>
      <c r="F124" s="20">
        <f t="shared" ref="F124:I124" si="122">STANDARDIZE(B124,$L$7,$L$8)</f>
        <v>0.2572425829</v>
      </c>
      <c r="G124" s="20">
        <f t="shared" si="122"/>
        <v>5.681675393</v>
      </c>
      <c r="H124" s="20">
        <f t="shared" si="122"/>
        <v>0.9832460733</v>
      </c>
      <c r="I124" s="20">
        <f t="shared" si="122"/>
        <v>1.872600349</v>
      </c>
    </row>
    <row r="125" ht="15.75" customHeight="1">
      <c r="A125" s="10">
        <f>Dados!A127</f>
        <v>44008.66667</v>
      </c>
      <c r="B125" s="19">
        <f>Dados!B127</f>
        <v>43.57</v>
      </c>
      <c r="C125" s="19">
        <f>Dados!D127</f>
        <v>196.33</v>
      </c>
      <c r="D125" s="19">
        <f>Dados!F127</f>
        <v>63.98</v>
      </c>
      <c r="E125" s="19">
        <f>Dados!H127</f>
        <v>88.41</v>
      </c>
      <c r="F125" s="20">
        <f t="shared" ref="F125:I125" si="123">STANDARDIZE(B125,$L$7,$L$8)</f>
        <v>0.2097731239</v>
      </c>
      <c r="G125" s="20">
        <f t="shared" si="123"/>
        <v>5.541710297</v>
      </c>
      <c r="H125" s="20">
        <f t="shared" si="123"/>
        <v>0.9221640489</v>
      </c>
      <c r="I125" s="20">
        <f t="shared" si="123"/>
        <v>1.77486911</v>
      </c>
    </row>
    <row r="126" ht="15.75" customHeight="1">
      <c r="A126" s="10">
        <f>Dados!A128</f>
        <v>44011.66667</v>
      </c>
      <c r="B126" s="19">
        <f>Dados!B128</f>
        <v>44.36</v>
      </c>
      <c r="C126" s="19">
        <f>Dados!D128</f>
        <v>198.44</v>
      </c>
      <c r="D126" s="19">
        <f>Dados!F128</f>
        <v>67.29</v>
      </c>
      <c r="E126" s="19">
        <f>Dados!H128</f>
        <v>90.45</v>
      </c>
      <c r="F126" s="20">
        <f t="shared" ref="F126:I126" si="124">STANDARDIZE(B126,$L$7,$L$8)</f>
        <v>0.2373472949</v>
      </c>
      <c r="G126" s="20">
        <f t="shared" si="124"/>
        <v>5.615357766</v>
      </c>
      <c r="H126" s="20">
        <f t="shared" si="124"/>
        <v>1.037696335</v>
      </c>
      <c r="I126" s="20">
        <f t="shared" si="124"/>
        <v>1.846073298</v>
      </c>
    </row>
    <row r="127" ht="15.75" customHeight="1">
      <c r="A127" s="10">
        <f>Dados!A129</f>
        <v>44012.66667</v>
      </c>
      <c r="B127" s="19">
        <f>Dados!B129</f>
        <v>44.68</v>
      </c>
      <c r="C127" s="19">
        <f>Dados!D129</f>
        <v>203.51</v>
      </c>
      <c r="D127" s="19">
        <f>Dados!F129</f>
        <v>71.99</v>
      </c>
      <c r="E127" s="19">
        <f>Dados!H129</f>
        <v>91.2</v>
      </c>
      <c r="F127" s="20">
        <f t="shared" ref="F127:I127" si="125">STANDARDIZE(B127,$L$7,$L$8)</f>
        <v>0.2485165794</v>
      </c>
      <c r="G127" s="20">
        <f t="shared" si="125"/>
        <v>5.792321117</v>
      </c>
      <c r="H127" s="20">
        <f t="shared" si="125"/>
        <v>1.201745201</v>
      </c>
      <c r="I127" s="20">
        <f t="shared" si="125"/>
        <v>1.872251309</v>
      </c>
    </row>
    <row r="128" ht="15.75" customHeight="1">
      <c r="A128" s="10">
        <f>Dados!A130</f>
        <v>44013.66667</v>
      </c>
      <c r="B128" s="19">
        <f>Dados!B130</f>
        <v>44.82</v>
      </c>
      <c r="C128" s="19">
        <f>Dados!D130</f>
        <v>204.7</v>
      </c>
      <c r="D128" s="19">
        <f>Dados!F130</f>
        <v>74.64</v>
      </c>
      <c r="E128" s="19">
        <f>Dados!H130</f>
        <v>91.03</v>
      </c>
      <c r="F128" s="20">
        <f t="shared" ref="F128:I128" si="126">STANDARDIZE(B128,$L$7,$L$8)</f>
        <v>0.2534031414</v>
      </c>
      <c r="G128" s="20">
        <f t="shared" si="126"/>
        <v>5.833856894</v>
      </c>
      <c r="H128" s="20">
        <f t="shared" si="126"/>
        <v>1.294240838</v>
      </c>
      <c r="I128" s="20">
        <f t="shared" si="126"/>
        <v>1.866317627</v>
      </c>
    </row>
    <row r="129" ht="15.75" customHeight="1">
      <c r="A129" s="10">
        <f>Dados!A131</f>
        <v>44014.66667</v>
      </c>
      <c r="B129" s="19">
        <f>Dados!B131</f>
        <v>44.88</v>
      </c>
      <c r="C129" s="19">
        <f>Dados!D131</f>
        <v>206.26</v>
      </c>
      <c r="D129" s="19">
        <f>Dados!F131</f>
        <v>80.58</v>
      </c>
      <c r="E129" s="19">
        <f>Dados!H131</f>
        <v>91.03</v>
      </c>
      <c r="F129" s="20">
        <f t="shared" ref="F129:I129" si="127">STANDARDIZE(B129,$L$7,$L$8)</f>
        <v>0.2554973822</v>
      </c>
      <c r="G129" s="20">
        <f t="shared" si="127"/>
        <v>5.888307155</v>
      </c>
      <c r="H129" s="20">
        <f t="shared" si="127"/>
        <v>1.501570681</v>
      </c>
      <c r="I129" s="20">
        <f t="shared" si="127"/>
        <v>1.866317627</v>
      </c>
    </row>
    <row r="130" ht="15.75" customHeight="1">
      <c r="A130" s="10">
        <f>Dados!A132</f>
        <v>44018.66667</v>
      </c>
      <c r="B130" s="19">
        <f>Dados!B132</f>
        <v>45.23</v>
      </c>
      <c r="C130" s="19">
        <f>Dados!D132</f>
        <v>210.7</v>
      </c>
      <c r="D130" s="19">
        <f>Dados!F132</f>
        <v>91.44</v>
      </c>
      <c r="E130" s="19">
        <f>Dados!H132</f>
        <v>93.46</v>
      </c>
      <c r="F130" s="20">
        <f t="shared" ref="F130:I130" si="128">STANDARDIZE(B130,$L$7,$L$8)</f>
        <v>0.2677137871</v>
      </c>
      <c r="G130" s="20">
        <f t="shared" si="128"/>
        <v>6.043280977</v>
      </c>
      <c r="H130" s="20">
        <f t="shared" si="128"/>
        <v>1.880628272</v>
      </c>
      <c r="I130" s="20">
        <f t="shared" si="128"/>
        <v>1.95113438</v>
      </c>
    </row>
    <row r="131" ht="15.75" customHeight="1">
      <c r="A131" s="10">
        <f>Dados!A133</f>
        <v>44019.66667</v>
      </c>
      <c r="B131" s="19">
        <f>Dados!B133</f>
        <v>45.21</v>
      </c>
      <c r="C131" s="19">
        <f>Dados!D133</f>
        <v>208.25</v>
      </c>
      <c r="D131" s="19">
        <f>Dados!F133</f>
        <v>92.66</v>
      </c>
      <c r="E131" s="19">
        <f>Dados!H133</f>
        <v>93.17</v>
      </c>
      <c r="F131" s="20">
        <f t="shared" ref="F131:I131" si="129">STANDARDIZE(B131,$L$7,$L$8)</f>
        <v>0.2670157068</v>
      </c>
      <c r="G131" s="20">
        <f t="shared" si="129"/>
        <v>5.957766143</v>
      </c>
      <c r="H131" s="20">
        <f t="shared" si="129"/>
        <v>1.923211169</v>
      </c>
      <c r="I131" s="20">
        <f t="shared" si="129"/>
        <v>1.941012216</v>
      </c>
    </row>
    <row r="132" ht="15.75" customHeight="1">
      <c r="A132" s="10">
        <f>Dados!A134</f>
        <v>44020.66667</v>
      </c>
      <c r="B132" s="19">
        <f>Dados!B134</f>
        <v>45.07</v>
      </c>
      <c r="C132" s="19">
        <f>Dados!D134</f>
        <v>212.83</v>
      </c>
      <c r="D132" s="19">
        <f>Dados!F134</f>
        <v>91.06</v>
      </c>
      <c r="E132" s="19">
        <f>Dados!H134</f>
        <v>95.34</v>
      </c>
      <c r="F132" s="20">
        <f t="shared" ref="F132:I132" si="130">STANDARDIZE(B132,$L$7,$L$8)</f>
        <v>0.2621291449</v>
      </c>
      <c r="G132" s="20">
        <f t="shared" si="130"/>
        <v>6.117626527</v>
      </c>
      <c r="H132" s="20">
        <f t="shared" si="130"/>
        <v>1.867364747</v>
      </c>
      <c r="I132" s="20">
        <f t="shared" si="130"/>
        <v>2.016753927</v>
      </c>
    </row>
    <row r="133" ht="15.75" customHeight="1">
      <c r="A133" s="10">
        <f>Dados!A135</f>
        <v>44021.66667</v>
      </c>
      <c r="B133" s="19">
        <f>Dados!B135</f>
        <v>43.91</v>
      </c>
      <c r="C133" s="19">
        <f>Dados!D135</f>
        <v>214.32</v>
      </c>
      <c r="D133" s="19">
        <f>Dados!F135</f>
        <v>92.95</v>
      </c>
      <c r="E133" s="19">
        <f>Dados!H135</f>
        <v>95.68</v>
      </c>
      <c r="F133" s="20">
        <f t="shared" ref="F133:I133" si="131">STANDARDIZE(B133,$L$7,$L$8)</f>
        <v>0.2216404887</v>
      </c>
      <c r="G133" s="20">
        <f t="shared" si="131"/>
        <v>6.169633508</v>
      </c>
      <c r="H133" s="20">
        <f t="shared" si="131"/>
        <v>1.933333333</v>
      </c>
      <c r="I133" s="20">
        <f t="shared" si="131"/>
        <v>2.028621291</v>
      </c>
    </row>
    <row r="134" ht="15.75" customHeight="1">
      <c r="A134" s="10">
        <f>Dados!A136</f>
        <v>44022.66667</v>
      </c>
      <c r="B134" s="19">
        <f>Dados!B136</f>
        <v>45.15</v>
      </c>
      <c r="C134" s="19">
        <f>Dados!D136</f>
        <v>213.67</v>
      </c>
      <c r="D134" s="19">
        <f>Dados!F136</f>
        <v>102.98</v>
      </c>
      <c r="E134" s="19">
        <f>Dados!H136</f>
        <v>95.92</v>
      </c>
      <c r="F134" s="20">
        <f t="shared" ref="F134:I134" si="132">STANDARDIZE(B134,$L$7,$L$8)</f>
        <v>0.264921466</v>
      </c>
      <c r="G134" s="20">
        <f t="shared" si="132"/>
        <v>6.146945899</v>
      </c>
      <c r="H134" s="20">
        <f t="shared" si="132"/>
        <v>2.283420593</v>
      </c>
      <c r="I134" s="20">
        <f t="shared" si="132"/>
        <v>2.036998255</v>
      </c>
    </row>
    <row r="135" ht="15.75" customHeight="1">
      <c r="A135" s="10">
        <f>Dados!A137</f>
        <v>44025.66667</v>
      </c>
      <c r="B135" s="19">
        <f>Dados!B137</f>
        <v>45.25</v>
      </c>
      <c r="C135" s="19">
        <f>Dados!D137</f>
        <v>207.07</v>
      </c>
      <c r="D135" s="19">
        <f>Dados!F137</f>
        <v>99.8</v>
      </c>
      <c r="E135" s="19">
        <f>Dados!H137</f>
        <v>95.48</v>
      </c>
      <c r="F135" s="20">
        <f t="shared" ref="F135:I135" si="133">STANDARDIZE(B135,$L$7,$L$8)</f>
        <v>0.2684118674</v>
      </c>
      <c r="G135" s="20">
        <f t="shared" si="133"/>
        <v>5.916579407</v>
      </c>
      <c r="H135" s="20">
        <f t="shared" si="133"/>
        <v>2.172425829</v>
      </c>
      <c r="I135" s="20">
        <f t="shared" si="133"/>
        <v>2.021640489</v>
      </c>
    </row>
    <row r="136" ht="15.75" customHeight="1">
      <c r="A136" s="10">
        <f>Dados!A138</f>
        <v>44026.66667</v>
      </c>
      <c r="B136" s="19">
        <f>Dados!B138</f>
        <v>45.87</v>
      </c>
      <c r="C136" s="19">
        <f>Dados!D138</f>
        <v>208.35</v>
      </c>
      <c r="D136" s="19">
        <f>Dados!F138</f>
        <v>101.12</v>
      </c>
      <c r="E136" s="19">
        <f>Dados!H138</f>
        <v>97.06</v>
      </c>
      <c r="F136" s="20">
        <f t="shared" ref="F136:I136" si="134">STANDARDIZE(B136,$L$7,$L$8)</f>
        <v>0.290052356</v>
      </c>
      <c r="G136" s="20">
        <f t="shared" si="134"/>
        <v>5.961256545</v>
      </c>
      <c r="H136" s="20">
        <f t="shared" si="134"/>
        <v>2.218499127</v>
      </c>
      <c r="I136" s="20">
        <f t="shared" si="134"/>
        <v>2.076788831</v>
      </c>
    </row>
    <row r="137" ht="15.75" customHeight="1">
      <c r="A137" s="10">
        <f>Dados!A139</f>
        <v>44027.66667</v>
      </c>
      <c r="B137" s="19">
        <f>Dados!B139</f>
        <v>46.4</v>
      </c>
      <c r="C137" s="19">
        <f>Dados!D139</f>
        <v>208.04</v>
      </c>
      <c r="D137" s="19">
        <f>Dados!F139</f>
        <v>103.07</v>
      </c>
      <c r="E137" s="19">
        <f>Dados!H139</f>
        <v>97.73</v>
      </c>
      <c r="F137" s="20">
        <f t="shared" ref="F137:I137" si="135">STANDARDIZE(B137,$L$7,$L$8)</f>
        <v>0.3085514834</v>
      </c>
      <c r="G137" s="20">
        <f t="shared" si="135"/>
        <v>5.9504363</v>
      </c>
      <c r="H137" s="20">
        <f t="shared" si="135"/>
        <v>2.286561955</v>
      </c>
      <c r="I137" s="20">
        <f t="shared" si="135"/>
        <v>2.10017452</v>
      </c>
    </row>
    <row r="138" ht="15.75" customHeight="1">
      <c r="A138" s="10">
        <f>Dados!A140</f>
        <v>44028.66667</v>
      </c>
      <c r="B138" s="19">
        <f>Dados!B140</f>
        <v>46.15</v>
      </c>
      <c r="C138" s="19">
        <f>Dados!D140</f>
        <v>203.92</v>
      </c>
      <c r="D138" s="19">
        <f>Dados!F140</f>
        <v>100.04</v>
      </c>
      <c r="E138" s="19">
        <f>Dados!H140</f>
        <v>96.52</v>
      </c>
      <c r="F138" s="20">
        <f t="shared" ref="F138:I138" si="136">STANDARDIZE(B138,$L$7,$L$8)</f>
        <v>0.2998254799</v>
      </c>
      <c r="G138" s="20">
        <f t="shared" si="136"/>
        <v>5.806631763</v>
      </c>
      <c r="H138" s="20">
        <f t="shared" si="136"/>
        <v>2.180802792</v>
      </c>
      <c r="I138" s="20">
        <f t="shared" si="136"/>
        <v>2.057940663</v>
      </c>
    </row>
    <row r="139" ht="15.75" customHeight="1">
      <c r="A139" s="10">
        <f>Dados!A141</f>
        <v>44029.66667</v>
      </c>
      <c r="B139" s="19">
        <f>Dados!B141</f>
        <v>46.82</v>
      </c>
      <c r="C139" s="19">
        <f>Dados!D141</f>
        <v>202.88</v>
      </c>
      <c r="D139" s="19">
        <f>Dados!F141</f>
        <v>100.06</v>
      </c>
      <c r="E139" s="19">
        <f>Dados!H141</f>
        <v>96.33</v>
      </c>
      <c r="F139" s="20">
        <f t="shared" ref="F139:I139" si="137">STANDARDIZE(B139,$L$7,$L$8)</f>
        <v>0.3232111693</v>
      </c>
      <c r="G139" s="20">
        <f t="shared" si="137"/>
        <v>5.770331588</v>
      </c>
      <c r="H139" s="20">
        <f t="shared" si="137"/>
        <v>2.181500873</v>
      </c>
      <c r="I139" s="20">
        <f t="shared" si="137"/>
        <v>2.051308901</v>
      </c>
    </row>
    <row r="140" ht="15.75" customHeight="1">
      <c r="A140" s="10">
        <f>Dados!A142</f>
        <v>44032.66667</v>
      </c>
      <c r="B140" s="19">
        <f>Dados!B142</f>
        <v>46.12</v>
      </c>
      <c r="C140" s="19">
        <f>Dados!D142</f>
        <v>211.6</v>
      </c>
      <c r="D140" s="19">
        <f>Dados!F142</f>
        <v>109.53</v>
      </c>
      <c r="E140" s="19">
        <f>Dados!H142</f>
        <v>98.36</v>
      </c>
      <c r="F140" s="20">
        <f t="shared" ref="F140:I140" si="138">STANDARDIZE(B140,$L$7,$L$8)</f>
        <v>0.2987783595</v>
      </c>
      <c r="G140" s="20">
        <f t="shared" si="138"/>
        <v>6.07469459</v>
      </c>
      <c r="H140" s="20">
        <f t="shared" si="138"/>
        <v>2.512041885</v>
      </c>
      <c r="I140" s="20">
        <f t="shared" si="138"/>
        <v>2.122164049</v>
      </c>
    </row>
    <row r="141" ht="15.75" customHeight="1">
      <c r="A141" s="10">
        <f>Dados!A143</f>
        <v>44033.66667</v>
      </c>
      <c r="B141" s="19">
        <f>Dados!B143</f>
        <v>47.2</v>
      </c>
      <c r="C141" s="19">
        <f>Dados!D143</f>
        <v>208.75</v>
      </c>
      <c r="D141" s="19">
        <f>Dados!F143</f>
        <v>104.56</v>
      </c>
      <c r="E141" s="19">
        <f>Dados!H143</f>
        <v>97</v>
      </c>
      <c r="F141" s="20">
        <f t="shared" ref="F141:I141" si="139">STANDARDIZE(B141,$L$7,$L$8)</f>
        <v>0.3364746946</v>
      </c>
      <c r="G141" s="20">
        <f t="shared" si="139"/>
        <v>5.97521815</v>
      </c>
      <c r="H141" s="20">
        <f t="shared" si="139"/>
        <v>2.338568935</v>
      </c>
      <c r="I141" s="20">
        <f t="shared" si="139"/>
        <v>2.07469459</v>
      </c>
    </row>
    <row r="142" ht="15.75" customHeight="1">
      <c r="A142" s="10">
        <f>Dados!A144</f>
        <v>44034.66667</v>
      </c>
      <c r="B142" s="19">
        <f>Dados!B144</f>
        <v>48.48</v>
      </c>
      <c r="C142" s="19">
        <f>Dados!D144</f>
        <v>211.75</v>
      </c>
      <c r="D142" s="19">
        <f>Dados!F144</f>
        <v>106.16</v>
      </c>
      <c r="E142" s="19">
        <f>Dados!H144</f>
        <v>97.27</v>
      </c>
      <c r="F142" s="20">
        <f t="shared" ref="F142:I142" si="140">STANDARDIZE(B142,$L$7,$L$8)</f>
        <v>0.3811518325</v>
      </c>
      <c r="G142" s="20">
        <f t="shared" si="140"/>
        <v>6.079930192</v>
      </c>
      <c r="H142" s="20">
        <f t="shared" si="140"/>
        <v>2.394415358</v>
      </c>
      <c r="I142" s="20">
        <f t="shared" si="140"/>
        <v>2.084118674</v>
      </c>
    </row>
    <row r="143" ht="15.75" customHeight="1">
      <c r="A143" s="10">
        <f>Dados!A145</f>
        <v>44035.66667</v>
      </c>
      <c r="B143" s="19">
        <f>Dados!B145</f>
        <v>48.28</v>
      </c>
      <c r="C143" s="19">
        <f>Dados!D145</f>
        <v>202.54</v>
      </c>
      <c r="D143" s="19">
        <f>Dados!F145</f>
        <v>100.87</v>
      </c>
      <c r="E143" s="19">
        <f>Dados!H145</f>
        <v>92.85</v>
      </c>
      <c r="F143" s="20">
        <f t="shared" ref="F143:I143" si="141">STANDARDIZE(B143,$L$7,$L$8)</f>
        <v>0.3741710297</v>
      </c>
      <c r="G143" s="20">
        <f t="shared" si="141"/>
        <v>5.758464223</v>
      </c>
      <c r="H143" s="20">
        <f t="shared" si="141"/>
        <v>2.209773124</v>
      </c>
      <c r="I143" s="20">
        <f t="shared" si="141"/>
        <v>1.929842932</v>
      </c>
    </row>
    <row r="144" ht="15.75" customHeight="1">
      <c r="A144" s="10">
        <f>Dados!A146</f>
        <v>44036.66667</v>
      </c>
      <c r="B144" s="19">
        <f>Dados!B146</f>
        <v>48.49</v>
      </c>
      <c r="C144" s="19">
        <f>Dados!D146</f>
        <v>201.3</v>
      </c>
      <c r="D144" s="19">
        <f>Dados!F146</f>
        <v>94.47</v>
      </c>
      <c r="E144" s="19">
        <f>Dados!H146</f>
        <v>92.62</v>
      </c>
      <c r="F144" s="20">
        <f t="shared" ref="F144:I144" si="142">STANDARDIZE(B144,$L$7,$L$8)</f>
        <v>0.3815008726</v>
      </c>
      <c r="G144" s="20">
        <f t="shared" si="142"/>
        <v>5.715183246</v>
      </c>
      <c r="H144" s="20">
        <f t="shared" si="142"/>
        <v>1.986387435</v>
      </c>
      <c r="I144" s="20">
        <f t="shared" si="142"/>
        <v>1.921815009</v>
      </c>
    </row>
    <row r="145" ht="15.75" customHeight="1">
      <c r="A145" s="10">
        <f>Dados!A147</f>
        <v>44039.66667</v>
      </c>
      <c r="B145" s="19">
        <f>Dados!B147</f>
        <v>48.48</v>
      </c>
      <c r="C145" s="19">
        <f>Dados!D147</f>
        <v>203.85</v>
      </c>
      <c r="D145" s="19">
        <f>Dados!F147</f>
        <v>102.64</v>
      </c>
      <c r="E145" s="19">
        <f>Dados!H147</f>
        <v>94.81</v>
      </c>
      <c r="F145" s="20">
        <f t="shared" ref="F145:I145" si="143">STANDARDIZE(B145,$L$7,$L$8)</f>
        <v>0.3811518325</v>
      </c>
      <c r="G145" s="20">
        <f t="shared" si="143"/>
        <v>5.804188482</v>
      </c>
      <c r="H145" s="20">
        <f t="shared" si="143"/>
        <v>2.271553229</v>
      </c>
      <c r="I145" s="20">
        <f t="shared" si="143"/>
        <v>1.998254799</v>
      </c>
    </row>
    <row r="146" ht="15.75" customHeight="1">
      <c r="A146" s="10">
        <f>Dados!A148</f>
        <v>44040.66667</v>
      </c>
      <c r="B146" s="19">
        <f>Dados!B148</f>
        <v>48.18</v>
      </c>
      <c r="C146" s="19">
        <f>Dados!D148</f>
        <v>202.02</v>
      </c>
      <c r="D146" s="19">
        <f>Dados!F148</f>
        <v>98.43</v>
      </c>
      <c r="E146" s="19">
        <f>Dados!H148</f>
        <v>93.25</v>
      </c>
      <c r="F146" s="20">
        <f t="shared" ref="F146:I146" si="144">STANDARDIZE(B146,$L$7,$L$8)</f>
        <v>0.3706806283</v>
      </c>
      <c r="G146" s="20">
        <f t="shared" si="144"/>
        <v>5.740314136</v>
      </c>
      <c r="H146" s="20">
        <f t="shared" si="144"/>
        <v>2.12460733</v>
      </c>
      <c r="I146" s="20">
        <f t="shared" si="144"/>
        <v>1.943804538</v>
      </c>
    </row>
    <row r="147" ht="15.75" customHeight="1">
      <c r="A147" s="10">
        <f>Dados!A149</f>
        <v>44041.66667</v>
      </c>
      <c r="B147" s="19">
        <f>Dados!B149</f>
        <v>48.02</v>
      </c>
      <c r="C147" s="19">
        <f>Dados!D149</f>
        <v>204.06</v>
      </c>
      <c r="D147" s="19">
        <f>Dados!F149</f>
        <v>99.94</v>
      </c>
      <c r="E147" s="19">
        <f>Dados!H149</f>
        <v>95.04</v>
      </c>
      <c r="F147" s="20">
        <f t="shared" ref="F147:I147" si="145">STANDARDIZE(B147,$L$7,$L$8)</f>
        <v>0.365095986</v>
      </c>
      <c r="G147" s="20">
        <f t="shared" si="145"/>
        <v>5.811518325</v>
      </c>
      <c r="H147" s="20">
        <f t="shared" si="145"/>
        <v>2.177312391</v>
      </c>
      <c r="I147" s="20">
        <f t="shared" si="145"/>
        <v>2.006282723</v>
      </c>
    </row>
    <row r="148" ht="15.75" customHeight="1">
      <c r="A148" s="10">
        <f>Dados!A150</f>
        <v>44042.66667</v>
      </c>
      <c r="B148" s="19">
        <f>Dados!B150</f>
        <v>47.69</v>
      </c>
      <c r="C148" s="19">
        <f>Dados!D150</f>
        <v>203.9</v>
      </c>
      <c r="D148" s="19">
        <f>Dados!F150</f>
        <v>99.17</v>
      </c>
      <c r="E148" s="19">
        <f>Dados!H150</f>
        <v>96.19</v>
      </c>
      <c r="F148" s="20">
        <f t="shared" ref="F148:I148" si="146">STANDARDIZE(B148,$L$7,$L$8)</f>
        <v>0.3535776614</v>
      </c>
      <c r="G148" s="20">
        <f t="shared" si="146"/>
        <v>5.805933682</v>
      </c>
      <c r="H148" s="20">
        <f t="shared" si="146"/>
        <v>2.1504363</v>
      </c>
      <c r="I148" s="20">
        <f t="shared" si="146"/>
        <v>2.046422339</v>
      </c>
    </row>
    <row r="149" ht="15.75" customHeight="1">
      <c r="A149" s="10">
        <f>Dados!A151</f>
        <v>44043.66667</v>
      </c>
      <c r="B149" s="19">
        <f>Dados!B151</f>
        <v>47.24</v>
      </c>
      <c r="C149" s="19">
        <f>Dados!D151</f>
        <v>205.01</v>
      </c>
      <c r="D149" s="19">
        <f>Dados!F151</f>
        <v>95.38</v>
      </c>
      <c r="E149" s="19">
        <f>Dados!H151</f>
        <v>106.26</v>
      </c>
      <c r="F149" s="20">
        <f t="shared" ref="F149:I149" si="147">STANDARDIZE(B149,$L$7,$L$8)</f>
        <v>0.3378708551</v>
      </c>
      <c r="G149" s="20">
        <f t="shared" si="147"/>
        <v>5.844677138</v>
      </c>
      <c r="H149" s="20">
        <f t="shared" si="147"/>
        <v>2.018150087</v>
      </c>
      <c r="I149" s="20">
        <f t="shared" si="147"/>
        <v>2.397905759</v>
      </c>
    </row>
    <row r="150" ht="15.75" customHeight="1">
      <c r="A150" s="10">
        <f>Dados!A152</f>
        <v>44046.66667</v>
      </c>
      <c r="B150" s="19">
        <f>Dados!B152</f>
        <v>46.3</v>
      </c>
      <c r="C150" s="19">
        <f>Dados!D152</f>
        <v>216.54</v>
      </c>
      <c r="D150" s="19">
        <f>Dados!F152</f>
        <v>99</v>
      </c>
      <c r="E150" s="19">
        <f>Dados!H152</f>
        <v>108.94</v>
      </c>
      <c r="F150" s="20">
        <f t="shared" ref="F150:I150" si="148">STANDARDIZE(B150,$L$7,$L$8)</f>
        <v>0.305061082</v>
      </c>
      <c r="G150" s="20">
        <f t="shared" si="148"/>
        <v>6.247120419</v>
      </c>
      <c r="H150" s="20">
        <f t="shared" si="148"/>
        <v>2.144502618</v>
      </c>
      <c r="I150" s="20">
        <f t="shared" si="148"/>
        <v>2.491448517</v>
      </c>
    </row>
    <row r="151" ht="15.75" customHeight="1">
      <c r="A151" s="10">
        <f>Dados!A153</f>
        <v>44047.66667</v>
      </c>
      <c r="B151" s="19">
        <f>Dados!B153</f>
        <v>46.69</v>
      </c>
      <c r="C151" s="19">
        <f>Dados!D153</f>
        <v>213.29</v>
      </c>
      <c r="D151" s="19">
        <f>Dados!F153</f>
        <v>99.13</v>
      </c>
      <c r="E151" s="19">
        <f>Dados!H153</f>
        <v>109.67</v>
      </c>
      <c r="F151" s="20">
        <f t="shared" ref="F151:I151" si="149">STANDARDIZE(B151,$L$7,$L$8)</f>
        <v>0.3186736475</v>
      </c>
      <c r="G151" s="20">
        <f t="shared" si="149"/>
        <v>6.133682373</v>
      </c>
      <c r="H151" s="20">
        <f t="shared" si="149"/>
        <v>2.14904014</v>
      </c>
      <c r="I151" s="20">
        <f t="shared" si="149"/>
        <v>2.516928447</v>
      </c>
    </row>
    <row r="152" ht="15.75" customHeight="1">
      <c r="A152" s="10">
        <f>Dados!A154</f>
        <v>44048.66667</v>
      </c>
      <c r="B152" s="19">
        <f>Dados!B154</f>
        <v>47.22</v>
      </c>
      <c r="C152" s="19">
        <f>Dados!D154</f>
        <v>212.94</v>
      </c>
      <c r="D152" s="19">
        <f>Dados!F154</f>
        <v>99</v>
      </c>
      <c r="E152" s="19">
        <f>Dados!H154</f>
        <v>110.06</v>
      </c>
      <c r="F152" s="20">
        <f t="shared" ref="F152:I152" si="150">STANDARDIZE(B152,$L$7,$L$8)</f>
        <v>0.3371727749</v>
      </c>
      <c r="G152" s="20">
        <f t="shared" si="150"/>
        <v>6.121465969</v>
      </c>
      <c r="H152" s="20">
        <f t="shared" si="150"/>
        <v>2.144502618</v>
      </c>
      <c r="I152" s="20">
        <f t="shared" si="150"/>
        <v>2.530541012</v>
      </c>
    </row>
    <row r="153" ht="15.75" customHeight="1">
      <c r="A153" s="10">
        <f>Dados!A155</f>
        <v>44049.66667</v>
      </c>
      <c r="B153" s="19">
        <f>Dados!B155</f>
        <v>47.48</v>
      </c>
      <c r="C153" s="19">
        <f>Dados!D155</f>
        <v>216.35</v>
      </c>
      <c r="D153" s="19">
        <f>Dados!F155</f>
        <v>99.31</v>
      </c>
      <c r="E153" s="19">
        <f>Dados!H155</f>
        <v>113.9</v>
      </c>
      <c r="F153" s="20">
        <f t="shared" ref="F153:I153" si="151">STANDARDIZE(B153,$L$7,$L$8)</f>
        <v>0.3462478185</v>
      </c>
      <c r="G153" s="20">
        <f t="shared" si="151"/>
        <v>6.240488656</v>
      </c>
      <c r="H153" s="20">
        <f t="shared" si="151"/>
        <v>2.155322862</v>
      </c>
      <c r="I153" s="20">
        <f t="shared" si="151"/>
        <v>2.664572426</v>
      </c>
    </row>
    <row r="154" ht="15.75" customHeight="1">
      <c r="A154" s="10">
        <f>Dados!A156</f>
        <v>44050.66667</v>
      </c>
      <c r="B154" s="19">
        <f>Dados!B156</f>
        <v>47.8</v>
      </c>
      <c r="C154" s="19">
        <f>Dados!D156</f>
        <v>212.48</v>
      </c>
      <c r="D154" s="19">
        <f>Dados!F156</f>
        <v>96.85</v>
      </c>
      <c r="E154" s="19">
        <f>Dados!H156</f>
        <v>111.11</v>
      </c>
      <c r="F154" s="20">
        <f t="shared" ref="F154:I154" si="152">STANDARDIZE(B154,$L$7,$L$8)</f>
        <v>0.357417103</v>
      </c>
      <c r="G154" s="20">
        <f t="shared" si="152"/>
        <v>6.105410122</v>
      </c>
      <c r="H154" s="20">
        <f t="shared" si="152"/>
        <v>2.069458988</v>
      </c>
      <c r="I154" s="20">
        <f t="shared" si="152"/>
        <v>2.567190227</v>
      </c>
    </row>
    <row r="155" ht="15.75" customHeight="1">
      <c r="A155" s="10">
        <f>Dados!A157</f>
        <v>44053.66667</v>
      </c>
      <c r="B155" s="19">
        <f>Dados!B157</f>
        <v>47.72</v>
      </c>
      <c r="C155" s="19">
        <f>Dados!D157</f>
        <v>208.25</v>
      </c>
      <c r="D155" s="19">
        <f>Dados!F157</f>
        <v>94.57</v>
      </c>
      <c r="E155" s="19">
        <f>Dados!H157</f>
        <v>112.73</v>
      </c>
      <c r="F155" s="20">
        <f t="shared" ref="F155:I155" si="153">STANDARDIZE(B155,$L$7,$L$8)</f>
        <v>0.3546247818</v>
      </c>
      <c r="G155" s="20">
        <f t="shared" si="153"/>
        <v>5.957766143</v>
      </c>
      <c r="H155" s="20">
        <f t="shared" si="153"/>
        <v>1.989877836</v>
      </c>
      <c r="I155" s="20">
        <f t="shared" si="153"/>
        <v>2.623734729</v>
      </c>
    </row>
    <row r="156" ht="15.75" customHeight="1">
      <c r="A156" s="10">
        <f>Dados!A158</f>
        <v>44054.66667</v>
      </c>
      <c r="B156" s="19">
        <f>Dados!B158</f>
        <v>47.93</v>
      </c>
      <c r="C156" s="19">
        <f>Dados!D158</f>
        <v>203.38</v>
      </c>
      <c r="D156" s="19">
        <f>Dados!F158</f>
        <v>91.63</v>
      </c>
      <c r="E156" s="19">
        <f>Dados!H158</f>
        <v>109.38</v>
      </c>
      <c r="F156" s="20">
        <f t="shared" ref="F156:I156" si="154">STANDARDIZE(B156,$L$7,$L$8)</f>
        <v>0.3619546248</v>
      </c>
      <c r="G156" s="20">
        <f t="shared" si="154"/>
        <v>5.787783595</v>
      </c>
      <c r="H156" s="20">
        <f t="shared" si="154"/>
        <v>1.887260035</v>
      </c>
      <c r="I156" s="20">
        <f t="shared" si="154"/>
        <v>2.506806283</v>
      </c>
    </row>
    <row r="157" ht="15.75" customHeight="1">
      <c r="A157" s="10">
        <f>Dados!A159</f>
        <v>44055.66667</v>
      </c>
      <c r="B157" s="19">
        <f>Dados!B159</f>
        <v>48.43</v>
      </c>
      <c r="C157" s="19">
        <f>Dados!D159</f>
        <v>209.19</v>
      </c>
      <c r="D157" s="19">
        <f>Dados!F159</f>
        <v>103.65</v>
      </c>
      <c r="E157" s="19">
        <f>Dados!H159</f>
        <v>113.01</v>
      </c>
      <c r="F157" s="20">
        <f t="shared" ref="F157:I157" si="155">STANDARDIZE(B157,$L$7,$L$8)</f>
        <v>0.3794066318</v>
      </c>
      <c r="G157" s="20">
        <f t="shared" si="155"/>
        <v>5.990575916</v>
      </c>
      <c r="H157" s="20">
        <f t="shared" si="155"/>
        <v>2.306806283</v>
      </c>
      <c r="I157" s="20">
        <f t="shared" si="155"/>
        <v>2.633507853</v>
      </c>
    </row>
    <row r="158" ht="15.75" customHeight="1">
      <c r="A158" s="10">
        <f>Dados!A160</f>
        <v>44056.66667</v>
      </c>
      <c r="B158" s="19">
        <f>Dados!B160</f>
        <v>48.38</v>
      </c>
      <c r="C158" s="19">
        <f>Dados!D160</f>
        <v>208.7</v>
      </c>
      <c r="D158" s="19">
        <f>Dados!F160</f>
        <v>108.07</v>
      </c>
      <c r="E158" s="19">
        <f>Dados!H160</f>
        <v>115.01</v>
      </c>
      <c r="F158" s="20">
        <f t="shared" ref="F158:I158" si="156">STANDARDIZE(B158,$L$7,$L$8)</f>
        <v>0.3776614311</v>
      </c>
      <c r="G158" s="20">
        <f t="shared" si="156"/>
        <v>5.973472949</v>
      </c>
      <c r="H158" s="20">
        <f t="shared" si="156"/>
        <v>2.461082024</v>
      </c>
      <c r="I158" s="20">
        <f t="shared" si="156"/>
        <v>2.703315881</v>
      </c>
    </row>
    <row r="159" ht="15.75" customHeight="1">
      <c r="A159" s="10">
        <f>Dados!A161</f>
        <v>44057.66667</v>
      </c>
      <c r="B159" s="19">
        <f>Dados!B161</f>
        <v>48.45</v>
      </c>
      <c r="C159" s="19">
        <f>Dados!D161</f>
        <v>208.9</v>
      </c>
      <c r="D159" s="19">
        <f>Dados!F161</f>
        <v>110.05</v>
      </c>
      <c r="E159" s="19">
        <f>Dados!H161</f>
        <v>114.91</v>
      </c>
      <c r="F159" s="20">
        <f t="shared" ref="F159:I159" si="157">STANDARDIZE(B159,$L$7,$L$8)</f>
        <v>0.380104712</v>
      </c>
      <c r="G159" s="20">
        <f t="shared" si="157"/>
        <v>5.980453752</v>
      </c>
      <c r="H159" s="20">
        <f t="shared" si="157"/>
        <v>2.530191972</v>
      </c>
      <c r="I159" s="20">
        <f t="shared" si="157"/>
        <v>2.69982548</v>
      </c>
    </row>
    <row r="160" ht="15.75" customHeight="1">
      <c r="A160" s="10">
        <f>Dados!A162</f>
        <v>44060.66667</v>
      </c>
      <c r="B160" s="19">
        <f>Dados!B162</f>
        <v>48.21</v>
      </c>
      <c r="C160" s="19">
        <f>Dados!D162</f>
        <v>210.28</v>
      </c>
      <c r="D160" s="19">
        <f>Dados!F162</f>
        <v>122.38</v>
      </c>
      <c r="E160" s="19">
        <f>Dados!H162</f>
        <v>114.61</v>
      </c>
      <c r="F160" s="20">
        <f t="shared" ref="F160:I160" si="158">STANDARDIZE(B160,$L$7,$L$8)</f>
        <v>0.3717277487</v>
      </c>
      <c r="G160" s="20">
        <f t="shared" si="158"/>
        <v>6.028621291</v>
      </c>
      <c r="H160" s="20">
        <f t="shared" si="158"/>
        <v>2.960558464</v>
      </c>
      <c r="I160" s="20">
        <f t="shared" si="158"/>
        <v>2.689354276</v>
      </c>
    </row>
    <row r="161" ht="15.75" customHeight="1">
      <c r="A161" s="10">
        <f>Dados!A163</f>
        <v>44061.66667</v>
      </c>
      <c r="B161" s="19">
        <f>Dados!B163</f>
        <v>48.42</v>
      </c>
      <c r="C161" s="19">
        <f>Dados!D163</f>
        <v>211.49</v>
      </c>
      <c r="D161" s="19">
        <f>Dados!F163</f>
        <v>125.81</v>
      </c>
      <c r="E161" s="19">
        <f>Dados!H163</f>
        <v>115.56</v>
      </c>
      <c r="F161" s="20">
        <f t="shared" ref="F161:I161" si="159">STANDARDIZE(B161,$L$7,$L$8)</f>
        <v>0.3790575916</v>
      </c>
      <c r="G161" s="20">
        <f t="shared" si="159"/>
        <v>6.070855148</v>
      </c>
      <c r="H161" s="20">
        <f t="shared" si="159"/>
        <v>3.080279232</v>
      </c>
      <c r="I161" s="20">
        <f t="shared" si="159"/>
        <v>2.722513089</v>
      </c>
    </row>
    <row r="162" ht="15.75" customHeight="1">
      <c r="A162" s="10">
        <f>Dados!A164</f>
        <v>44062.66667</v>
      </c>
      <c r="B162" s="19">
        <f>Dados!B164</f>
        <v>47.37</v>
      </c>
      <c r="C162" s="19">
        <f>Dados!D164</f>
        <v>209.7</v>
      </c>
      <c r="D162" s="19">
        <f>Dados!F164</f>
        <v>125.24</v>
      </c>
      <c r="E162" s="19">
        <f>Dados!H164</f>
        <v>115.71</v>
      </c>
      <c r="F162" s="20">
        <f t="shared" ref="F162:I162" si="160">STANDARDIZE(B162,$L$7,$L$8)</f>
        <v>0.342408377</v>
      </c>
      <c r="G162" s="20">
        <f t="shared" si="160"/>
        <v>6.008376963</v>
      </c>
      <c r="H162" s="20">
        <f t="shared" si="160"/>
        <v>3.060383944</v>
      </c>
      <c r="I162" s="20">
        <f t="shared" si="160"/>
        <v>2.727748691</v>
      </c>
    </row>
    <row r="163" ht="15.75" customHeight="1">
      <c r="A163" s="10">
        <f>Dados!A165</f>
        <v>44063.66667</v>
      </c>
      <c r="B163" s="19">
        <f>Dados!B165</f>
        <v>47.35</v>
      </c>
      <c r="C163" s="19">
        <f>Dados!D165</f>
        <v>214.58</v>
      </c>
      <c r="D163" s="19">
        <f>Dados!F165</f>
        <v>133.46</v>
      </c>
      <c r="E163" s="19">
        <f>Dados!H165</f>
        <v>118.28</v>
      </c>
      <c r="F163" s="20">
        <f t="shared" ref="F163:I163" si="161">STANDARDIZE(B163,$L$7,$L$8)</f>
        <v>0.3417102967</v>
      </c>
      <c r="G163" s="20">
        <f t="shared" si="161"/>
        <v>6.178708551</v>
      </c>
      <c r="H163" s="20">
        <f t="shared" si="161"/>
        <v>3.347294939</v>
      </c>
      <c r="I163" s="20">
        <f t="shared" si="161"/>
        <v>2.817452007</v>
      </c>
    </row>
    <row r="164" ht="15.75" customHeight="1">
      <c r="A164" s="10">
        <f>Dados!A166</f>
        <v>44064.66667</v>
      </c>
      <c r="B164" s="19">
        <f>Dados!B166</f>
        <v>47.28</v>
      </c>
      <c r="C164" s="19">
        <f>Dados!D166</f>
        <v>213.02</v>
      </c>
      <c r="D164" s="19">
        <f>Dados!F166</f>
        <v>136.67</v>
      </c>
      <c r="E164" s="19">
        <f>Dados!H166</f>
        <v>124.37</v>
      </c>
      <c r="F164" s="20">
        <f t="shared" ref="F164:I164" si="162">STANDARDIZE(B164,$L$7,$L$8)</f>
        <v>0.3392670157</v>
      </c>
      <c r="G164" s="20">
        <f t="shared" si="162"/>
        <v>6.12425829</v>
      </c>
      <c r="H164" s="20">
        <f t="shared" si="162"/>
        <v>3.459336824</v>
      </c>
      <c r="I164" s="20">
        <f t="shared" si="162"/>
        <v>3.030017452</v>
      </c>
    </row>
    <row r="165" ht="15.75" customHeight="1">
      <c r="A165" s="10">
        <f>Dados!A167</f>
        <v>44067.66667</v>
      </c>
      <c r="B165" s="19">
        <f>Dados!B167</f>
        <v>47.97</v>
      </c>
      <c r="C165" s="19">
        <f>Dados!D167</f>
        <v>213.69</v>
      </c>
      <c r="D165" s="19">
        <f>Dados!F167</f>
        <v>134.28</v>
      </c>
      <c r="E165" s="19">
        <f>Dados!H167</f>
        <v>125.86</v>
      </c>
      <c r="F165" s="20">
        <f t="shared" ref="F165:I165" si="163">STANDARDIZE(B165,$L$7,$L$8)</f>
        <v>0.3633507853</v>
      </c>
      <c r="G165" s="20">
        <f t="shared" si="163"/>
        <v>6.147643979</v>
      </c>
      <c r="H165" s="20">
        <f t="shared" si="163"/>
        <v>3.37591623</v>
      </c>
      <c r="I165" s="20">
        <f t="shared" si="163"/>
        <v>3.082024433</v>
      </c>
    </row>
    <row r="166" ht="15.75" customHeight="1">
      <c r="A166" s="10">
        <f>Dados!A168</f>
        <v>44068.66667</v>
      </c>
      <c r="B166" s="19">
        <f>Dados!B168</f>
        <v>47.91</v>
      </c>
      <c r="C166" s="19">
        <f>Dados!D168</f>
        <v>216.47</v>
      </c>
      <c r="D166" s="19">
        <f>Dados!F168</f>
        <v>134.89</v>
      </c>
      <c r="E166" s="19">
        <f>Dados!H168</f>
        <v>124.83</v>
      </c>
      <c r="F166" s="20">
        <f t="shared" ref="F166:I166" si="164">STANDARDIZE(B166,$L$7,$L$8)</f>
        <v>0.3612565445</v>
      </c>
      <c r="G166" s="20">
        <f t="shared" si="164"/>
        <v>6.244677138</v>
      </c>
      <c r="H166" s="20">
        <f t="shared" si="164"/>
        <v>3.397207679</v>
      </c>
      <c r="I166" s="20">
        <f t="shared" si="164"/>
        <v>3.046073298</v>
      </c>
    </row>
    <row r="167" ht="15.75" customHeight="1">
      <c r="A167" s="10">
        <f>Dados!A169</f>
        <v>44069.66667</v>
      </c>
      <c r="B167" s="19">
        <f>Dados!B169</f>
        <v>48.16</v>
      </c>
      <c r="C167" s="19">
        <f>Dados!D169</f>
        <v>221.15</v>
      </c>
      <c r="D167" s="19">
        <f>Dados!F169</f>
        <v>143.54</v>
      </c>
      <c r="E167" s="19">
        <f>Dados!H169</f>
        <v>126.52</v>
      </c>
      <c r="F167" s="20">
        <f t="shared" ref="F167:I167" si="165">STANDARDIZE(B167,$L$7,$L$8)</f>
        <v>0.369982548</v>
      </c>
      <c r="G167" s="20">
        <f t="shared" si="165"/>
        <v>6.408027923</v>
      </c>
      <c r="H167" s="20">
        <f t="shared" si="165"/>
        <v>3.6991274</v>
      </c>
      <c r="I167" s="20">
        <f t="shared" si="165"/>
        <v>3.105061082</v>
      </c>
    </row>
    <row r="168" ht="15.75" customHeight="1">
      <c r="A168" s="10">
        <f>Dados!A170</f>
        <v>44070.66667</v>
      </c>
      <c r="B168" s="19">
        <f>Dados!B170</f>
        <v>48.23</v>
      </c>
      <c r="C168" s="19">
        <f>Dados!D170</f>
        <v>226.58</v>
      </c>
      <c r="D168" s="19">
        <f>Dados!F170</f>
        <v>149.25</v>
      </c>
      <c r="E168" s="19">
        <f>Dados!H170</f>
        <v>125.01</v>
      </c>
      <c r="F168" s="20">
        <f t="shared" ref="F168:I168" si="166">STANDARDIZE(B168,$L$7,$L$8)</f>
        <v>0.372425829</v>
      </c>
      <c r="G168" s="20">
        <f t="shared" si="166"/>
        <v>6.597556719</v>
      </c>
      <c r="H168" s="20">
        <f t="shared" si="166"/>
        <v>3.898429319</v>
      </c>
      <c r="I168" s="20">
        <f t="shared" si="166"/>
        <v>3.052356021</v>
      </c>
    </row>
    <row r="169" ht="15.75" customHeight="1">
      <c r="A169" s="10">
        <f>Dados!A171</f>
        <v>44071.66667</v>
      </c>
      <c r="B169" s="19">
        <f>Dados!B171</f>
        <v>49.83</v>
      </c>
      <c r="C169" s="19">
        <f>Dados!D171</f>
        <v>228.91</v>
      </c>
      <c r="D169" s="19">
        <f>Dados!F171</f>
        <v>147.56</v>
      </c>
      <c r="E169" s="19">
        <f>Dados!H171</f>
        <v>124.81</v>
      </c>
      <c r="F169" s="20">
        <f t="shared" ref="F169:I169" si="167">STANDARDIZE(B169,$L$7,$L$8)</f>
        <v>0.4282722513</v>
      </c>
      <c r="G169" s="20">
        <f t="shared" si="167"/>
        <v>6.678883072</v>
      </c>
      <c r="H169" s="20">
        <f t="shared" si="167"/>
        <v>3.839441536</v>
      </c>
      <c r="I169" s="20">
        <f t="shared" si="167"/>
        <v>3.045375218</v>
      </c>
    </row>
    <row r="170" ht="15.75" customHeight="1">
      <c r="A170" s="10">
        <f>Dados!A172</f>
        <v>44074.66667</v>
      </c>
      <c r="B170" s="19">
        <f>Dados!B172</f>
        <v>49.53</v>
      </c>
      <c r="C170" s="19">
        <f>Dados!D172</f>
        <v>225.53</v>
      </c>
      <c r="D170" s="19">
        <f>Dados!F172</f>
        <v>166.11</v>
      </c>
      <c r="E170" s="19">
        <f>Dados!H172</f>
        <v>129.04</v>
      </c>
      <c r="F170" s="20">
        <f t="shared" ref="F170:I170" si="168">STANDARDIZE(B170,$L$7,$L$8)</f>
        <v>0.4178010471</v>
      </c>
      <c r="G170" s="20">
        <f t="shared" si="168"/>
        <v>6.560907504</v>
      </c>
      <c r="H170" s="20">
        <f t="shared" si="168"/>
        <v>4.486910995</v>
      </c>
      <c r="I170" s="20">
        <f t="shared" si="168"/>
        <v>3.193019197</v>
      </c>
    </row>
    <row r="171" ht="15.75" customHeight="1">
      <c r="A171" s="10">
        <f>Dados!A173</f>
        <v>44075.66667</v>
      </c>
      <c r="B171" s="19">
        <f>Dados!B173</f>
        <v>49.12</v>
      </c>
      <c r="C171" s="19">
        <f>Dados!D173</f>
        <v>227.27</v>
      </c>
      <c r="D171" s="19">
        <f>Dados!F173</f>
        <v>158.35</v>
      </c>
      <c r="E171" s="19">
        <f>Dados!H173</f>
        <v>134.18</v>
      </c>
      <c r="F171" s="20">
        <f t="shared" ref="F171:I171" si="169">STANDARDIZE(B171,$L$7,$L$8)</f>
        <v>0.4034904014</v>
      </c>
      <c r="G171" s="20">
        <f t="shared" si="169"/>
        <v>6.621640489</v>
      </c>
      <c r="H171" s="20">
        <f t="shared" si="169"/>
        <v>4.216055846</v>
      </c>
      <c r="I171" s="20">
        <f t="shared" si="169"/>
        <v>3.372425829</v>
      </c>
    </row>
    <row r="172" ht="15.75" customHeight="1">
      <c r="A172" s="10">
        <f>Dados!A174</f>
        <v>44076.66667</v>
      </c>
      <c r="B172" s="19">
        <f>Dados!B174</f>
        <v>51.19</v>
      </c>
      <c r="C172" s="19">
        <f>Dados!D174</f>
        <v>231.65</v>
      </c>
      <c r="D172" s="19">
        <f>Dados!F174</f>
        <v>149.12</v>
      </c>
      <c r="E172" s="19">
        <f>Dados!H174</f>
        <v>131.4</v>
      </c>
      <c r="F172" s="20">
        <f t="shared" ref="F172:I172" si="170">STANDARDIZE(B172,$L$7,$L$8)</f>
        <v>0.4757417103</v>
      </c>
      <c r="G172" s="20">
        <f t="shared" si="170"/>
        <v>6.77452007</v>
      </c>
      <c r="H172" s="20">
        <f t="shared" si="170"/>
        <v>3.893891798</v>
      </c>
      <c r="I172" s="20">
        <f t="shared" si="170"/>
        <v>3.27539267</v>
      </c>
    </row>
    <row r="173" ht="15.75" customHeight="1">
      <c r="A173" s="10">
        <f>Dados!A175</f>
        <v>44077.66667</v>
      </c>
      <c r="B173" s="19">
        <f>Dados!B175</f>
        <v>50.48</v>
      </c>
      <c r="C173" s="19">
        <f>Dados!D175</f>
        <v>217.3</v>
      </c>
      <c r="D173" s="19">
        <f>Dados!F175</f>
        <v>135.67</v>
      </c>
      <c r="E173" s="19">
        <f>Dados!H175</f>
        <v>120.88</v>
      </c>
      <c r="F173" s="20">
        <f t="shared" ref="F173:I173" si="171">STANDARDIZE(B173,$L$7,$L$8)</f>
        <v>0.4509598604</v>
      </c>
      <c r="G173" s="20">
        <f t="shared" si="171"/>
        <v>6.273647469</v>
      </c>
      <c r="H173" s="20">
        <f t="shared" si="171"/>
        <v>3.42443281</v>
      </c>
      <c r="I173" s="20">
        <f t="shared" si="171"/>
        <v>2.908202443</v>
      </c>
    </row>
    <row r="174" ht="15.75" customHeight="1">
      <c r="A174" s="10">
        <f>Dados!A176</f>
        <v>44078.66667</v>
      </c>
      <c r="B174" s="19">
        <f>Dados!B176</f>
        <v>51.04</v>
      </c>
      <c r="C174" s="19">
        <f>Dados!D176</f>
        <v>214.25</v>
      </c>
      <c r="D174" s="19">
        <f>Dados!F176</f>
        <v>139.44</v>
      </c>
      <c r="E174" s="19">
        <f>Dados!H176</f>
        <v>120.96</v>
      </c>
      <c r="F174" s="20">
        <f t="shared" ref="F174:I174" si="172">STANDARDIZE(B174,$L$7,$L$8)</f>
        <v>0.4705061082</v>
      </c>
      <c r="G174" s="20">
        <f t="shared" si="172"/>
        <v>6.167190227</v>
      </c>
      <c r="H174" s="20">
        <f t="shared" si="172"/>
        <v>3.556020942</v>
      </c>
      <c r="I174" s="20">
        <f t="shared" si="172"/>
        <v>2.910994764</v>
      </c>
    </row>
    <row r="175" ht="15.75" customHeight="1">
      <c r="A175" s="10">
        <f>Dados!A177</f>
        <v>44082.66667</v>
      </c>
      <c r="B175" s="19">
        <f>Dados!B177</f>
        <v>49.81</v>
      </c>
      <c r="C175" s="19">
        <f>Dados!D177</f>
        <v>202.66</v>
      </c>
      <c r="D175" s="19">
        <f>Dados!F177</f>
        <v>110.07</v>
      </c>
      <c r="E175" s="19">
        <f>Dados!H177</f>
        <v>112.82</v>
      </c>
      <c r="F175" s="20">
        <f t="shared" ref="F175:I175" si="173">STANDARDIZE(B175,$L$7,$L$8)</f>
        <v>0.427574171</v>
      </c>
      <c r="G175" s="20">
        <f t="shared" si="173"/>
        <v>5.762652705</v>
      </c>
      <c r="H175" s="20">
        <f t="shared" si="173"/>
        <v>2.530890052</v>
      </c>
      <c r="I175" s="20">
        <f t="shared" si="173"/>
        <v>2.626876091</v>
      </c>
    </row>
    <row r="176" ht="15.75" customHeight="1">
      <c r="A176" s="10">
        <f>Dados!A178</f>
        <v>44083.66667</v>
      </c>
      <c r="B176" s="19">
        <f>Dados!B178</f>
        <v>50.19</v>
      </c>
      <c r="C176" s="19">
        <f>Dados!D178</f>
        <v>211.29</v>
      </c>
      <c r="D176" s="19">
        <f>Dados!F178</f>
        <v>122.09</v>
      </c>
      <c r="E176" s="19">
        <f>Dados!H178</f>
        <v>117.32</v>
      </c>
      <c r="F176" s="20">
        <f t="shared" ref="F176:I176" si="174">STANDARDIZE(B176,$L$7,$L$8)</f>
        <v>0.4408376963</v>
      </c>
      <c r="G176" s="20">
        <f t="shared" si="174"/>
        <v>6.063874346</v>
      </c>
      <c r="H176" s="20">
        <f t="shared" si="174"/>
        <v>2.9504363</v>
      </c>
      <c r="I176" s="20">
        <f t="shared" si="174"/>
        <v>2.783944154</v>
      </c>
    </row>
    <row r="177" ht="15.75" customHeight="1">
      <c r="A177" s="10">
        <f>Dados!A179</f>
        <v>44084.66667</v>
      </c>
      <c r="B177" s="19">
        <f>Dados!B179</f>
        <v>50</v>
      </c>
      <c r="C177" s="19">
        <f>Dados!D179</f>
        <v>205.37</v>
      </c>
      <c r="D177" s="19">
        <f>Dados!F179</f>
        <v>123.78</v>
      </c>
      <c r="E177" s="19">
        <f>Dados!H179</f>
        <v>113.49</v>
      </c>
      <c r="F177" s="20">
        <f t="shared" ref="F177:I177" si="175">STANDARDIZE(B177,$L$7,$L$8)</f>
        <v>0.4342059337</v>
      </c>
      <c r="G177" s="20">
        <f t="shared" si="175"/>
        <v>5.857242583</v>
      </c>
      <c r="H177" s="20">
        <f t="shared" si="175"/>
        <v>3.009424084</v>
      </c>
      <c r="I177" s="20">
        <f t="shared" si="175"/>
        <v>2.65026178</v>
      </c>
    </row>
    <row r="178" ht="15.75" customHeight="1">
      <c r="A178" s="10">
        <f>Dados!A180</f>
        <v>44085.66667</v>
      </c>
      <c r="B178" s="19">
        <f>Dados!B180</f>
        <v>51.06</v>
      </c>
      <c r="C178" s="19">
        <f>Dados!D180</f>
        <v>204.03</v>
      </c>
      <c r="D178" s="19">
        <f>Dados!F180</f>
        <v>124.24</v>
      </c>
      <c r="E178" s="19">
        <f>Dados!H180</f>
        <v>112</v>
      </c>
      <c r="F178" s="20">
        <f t="shared" ref="F178:I178" si="176">STANDARDIZE(B178,$L$7,$L$8)</f>
        <v>0.4712041885</v>
      </c>
      <c r="G178" s="20">
        <f t="shared" si="176"/>
        <v>5.810471204</v>
      </c>
      <c r="H178" s="20">
        <f t="shared" si="176"/>
        <v>3.02547993</v>
      </c>
      <c r="I178" s="20">
        <f t="shared" si="176"/>
        <v>2.598254799</v>
      </c>
    </row>
    <row r="179" ht="15.75" customHeight="1">
      <c r="A179" s="10">
        <f>Dados!A181</f>
        <v>44088.66667</v>
      </c>
      <c r="B179" s="19">
        <f>Dados!B181</f>
        <v>50.71</v>
      </c>
      <c r="C179" s="19">
        <f>Dados!D181</f>
        <v>205.41</v>
      </c>
      <c r="D179" s="19">
        <f>Dados!F181</f>
        <v>139.87</v>
      </c>
      <c r="E179" s="19">
        <f>Dados!H181</f>
        <v>115.36</v>
      </c>
      <c r="F179" s="20">
        <f t="shared" ref="F179:I179" si="177">STANDARDIZE(B179,$L$7,$L$8)</f>
        <v>0.4589877836</v>
      </c>
      <c r="G179" s="20">
        <f t="shared" si="177"/>
        <v>5.858638743</v>
      </c>
      <c r="H179" s="20">
        <f t="shared" si="177"/>
        <v>3.571029668</v>
      </c>
      <c r="I179" s="20">
        <f t="shared" si="177"/>
        <v>2.715532286</v>
      </c>
    </row>
    <row r="180" ht="15.75" customHeight="1">
      <c r="A180" s="10">
        <f>Dados!A182</f>
        <v>44089.66667</v>
      </c>
      <c r="B180" s="19">
        <f>Dados!B182</f>
        <v>51.05</v>
      </c>
      <c r="C180" s="19">
        <f>Dados!D182</f>
        <v>208.78</v>
      </c>
      <c r="D180" s="19">
        <f>Dados!F182</f>
        <v>149.92</v>
      </c>
      <c r="E180" s="19">
        <f>Dados!H182</f>
        <v>115.54</v>
      </c>
      <c r="F180" s="20">
        <f t="shared" ref="F180:I180" si="178">STANDARDIZE(B180,$L$7,$L$8)</f>
        <v>0.4708551483</v>
      </c>
      <c r="G180" s="20">
        <f t="shared" si="178"/>
        <v>5.976265271</v>
      </c>
      <c r="H180" s="20">
        <f t="shared" si="178"/>
        <v>3.921815009</v>
      </c>
      <c r="I180" s="20">
        <f t="shared" si="178"/>
        <v>2.721815009</v>
      </c>
    </row>
    <row r="181" ht="15.75" customHeight="1">
      <c r="A181" s="10">
        <f>Dados!A183</f>
        <v>44090.66667</v>
      </c>
      <c r="B181" s="19">
        <f>Dados!B183</f>
        <v>50.79</v>
      </c>
      <c r="C181" s="19">
        <f>Dados!D183</f>
        <v>205.05</v>
      </c>
      <c r="D181" s="19">
        <f>Dados!F183</f>
        <v>147.25</v>
      </c>
      <c r="E181" s="19">
        <f>Dados!H183</f>
        <v>112.13</v>
      </c>
      <c r="F181" s="20">
        <f t="shared" ref="F181:I181" si="179">STANDARDIZE(B181,$L$7,$L$8)</f>
        <v>0.4617801047</v>
      </c>
      <c r="G181" s="20">
        <f t="shared" si="179"/>
        <v>5.846073298</v>
      </c>
      <c r="H181" s="20">
        <f t="shared" si="179"/>
        <v>3.828621291</v>
      </c>
      <c r="I181" s="20">
        <f t="shared" si="179"/>
        <v>2.602792321</v>
      </c>
    </row>
    <row r="182" ht="15.75" customHeight="1">
      <c r="A182" s="10">
        <f>Dados!A184</f>
        <v>44091.66667</v>
      </c>
      <c r="B182" s="19">
        <f>Dados!B184</f>
        <v>50.55</v>
      </c>
      <c r="C182" s="19">
        <f>Dados!D184</f>
        <v>202.91</v>
      </c>
      <c r="D182" s="19">
        <f>Dados!F184</f>
        <v>141.14</v>
      </c>
      <c r="E182" s="19">
        <f>Dados!H184</f>
        <v>110.34</v>
      </c>
      <c r="F182" s="20">
        <f t="shared" ref="F182:I182" si="180">STANDARDIZE(B182,$L$7,$L$8)</f>
        <v>0.4534031414</v>
      </c>
      <c r="G182" s="20">
        <f t="shared" si="180"/>
        <v>5.771378709</v>
      </c>
      <c r="H182" s="20">
        <f t="shared" si="180"/>
        <v>3.615357766</v>
      </c>
      <c r="I182" s="20">
        <f t="shared" si="180"/>
        <v>2.540314136</v>
      </c>
    </row>
    <row r="183" ht="15.75" customHeight="1">
      <c r="A183" s="10">
        <f>Dados!A185</f>
        <v>44092.66667</v>
      </c>
      <c r="B183" s="19">
        <f>Dados!B185</f>
        <v>50.45</v>
      </c>
      <c r="C183" s="19">
        <f>Dados!D185</f>
        <v>200.39</v>
      </c>
      <c r="D183" s="19">
        <f>Dados!F185</f>
        <v>147.38</v>
      </c>
      <c r="E183" s="19">
        <f>Dados!H185</f>
        <v>106.84</v>
      </c>
      <c r="F183" s="20">
        <f t="shared" ref="F183:I183" si="181">STANDARDIZE(B183,$L$7,$L$8)</f>
        <v>0.44991274</v>
      </c>
      <c r="G183" s="20">
        <f t="shared" si="181"/>
        <v>5.683420593</v>
      </c>
      <c r="H183" s="20">
        <f t="shared" si="181"/>
        <v>3.833158813</v>
      </c>
      <c r="I183" s="20">
        <f t="shared" si="181"/>
        <v>2.418150087</v>
      </c>
    </row>
    <row r="184" ht="15.75" customHeight="1">
      <c r="A184" s="10">
        <f>Dados!A186</f>
        <v>44095.66667</v>
      </c>
      <c r="B184" s="19">
        <f>Dados!B186</f>
        <v>49.09</v>
      </c>
      <c r="C184" s="19">
        <f>Dados!D186</f>
        <v>202.54</v>
      </c>
      <c r="D184" s="19">
        <f>Dados!F186</f>
        <v>149.8</v>
      </c>
      <c r="E184" s="19">
        <f>Dados!H186</f>
        <v>110.08</v>
      </c>
      <c r="F184" s="20">
        <f t="shared" ref="F184:I184" si="182">STANDARDIZE(B184,$L$7,$L$8)</f>
        <v>0.402443281</v>
      </c>
      <c r="G184" s="20">
        <f t="shared" si="182"/>
        <v>5.758464223</v>
      </c>
      <c r="H184" s="20">
        <f t="shared" si="182"/>
        <v>3.917626527</v>
      </c>
      <c r="I184" s="20">
        <f t="shared" si="182"/>
        <v>2.531239092</v>
      </c>
    </row>
    <row r="185" ht="15.75" customHeight="1">
      <c r="A185" s="10">
        <f>Dados!A187</f>
        <v>44096.66667</v>
      </c>
      <c r="B185" s="19">
        <f>Dados!B187</f>
        <v>49.66</v>
      </c>
      <c r="C185" s="19">
        <f>Dados!D187</f>
        <v>207.42</v>
      </c>
      <c r="D185" s="19">
        <f>Dados!F187</f>
        <v>141.41</v>
      </c>
      <c r="E185" s="19">
        <f>Dados!H187</f>
        <v>111.81</v>
      </c>
      <c r="F185" s="20">
        <f t="shared" ref="F185:I185" si="183">STANDARDIZE(B185,$L$7,$L$8)</f>
        <v>0.4223385689</v>
      </c>
      <c r="G185" s="20">
        <f t="shared" si="183"/>
        <v>5.928795812</v>
      </c>
      <c r="H185" s="20">
        <f t="shared" si="183"/>
        <v>3.62478185</v>
      </c>
      <c r="I185" s="20">
        <f t="shared" si="183"/>
        <v>2.591623037</v>
      </c>
    </row>
    <row r="186" ht="15.75" customHeight="1">
      <c r="A186" s="10">
        <f>Dados!A188</f>
        <v>44097.66667</v>
      </c>
      <c r="B186" s="19">
        <f>Dados!B188</f>
        <v>48.21</v>
      </c>
      <c r="C186" s="19">
        <f>Dados!D188</f>
        <v>200.59</v>
      </c>
      <c r="D186" s="19">
        <f>Dados!F188</f>
        <v>126.79</v>
      </c>
      <c r="E186" s="19">
        <f>Dados!H188</f>
        <v>107.12</v>
      </c>
      <c r="F186" s="20">
        <f t="shared" ref="F186:I186" si="184">STANDARDIZE(B186,$L$7,$L$8)</f>
        <v>0.3717277487</v>
      </c>
      <c r="G186" s="20">
        <f t="shared" si="184"/>
        <v>5.690401396</v>
      </c>
      <c r="H186" s="20">
        <f t="shared" si="184"/>
        <v>3.114485166</v>
      </c>
      <c r="I186" s="20">
        <f t="shared" si="184"/>
        <v>2.427923211</v>
      </c>
    </row>
    <row r="187" ht="15.75" customHeight="1">
      <c r="A187" s="10">
        <f>Dados!A189</f>
        <v>44098.66667</v>
      </c>
      <c r="B187" s="19">
        <f>Dados!B189</f>
        <v>48.7</v>
      </c>
      <c r="C187" s="19">
        <f>Dados!D189</f>
        <v>203.19</v>
      </c>
      <c r="D187" s="19">
        <f>Dados!F189</f>
        <v>129.26</v>
      </c>
      <c r="E187" s="19">
        <f>Dados!H189</f>
        <v>108.22</v>
      </c>
      <c r="F187" s="20">
        <f t="shared" ref="F187:I187" si="185">STANDARDIZE(B187,$L$7,$L$8)</f>
        <v>0.3888307155</v>
      </c>
      <c r="G187" s="20">
        <f t="shared" si="185"/>
        <v>5.781151832</v>
      </c>
      <c r="H187" s="20">
        <f t="shared" si="185"/>
        <v>3.20069808</v>
      </c>
      <c r="I187" s="20">
        <f t="shared" si="185"/>
        <v>2.466317627</v>
      </c>
    </row>
    <row r="188" ht="15.75" customHeight="1">
      <c r="A188" s="10">
        <f>Dados!A190</f>
        <v>44099.66667</v>
      </c>
      <c r="B188" s="19">
        <f>Dados!B190</f>
        <v>48.72</v>
      </c>
      <c r="C188" s="19">
        <f>Dados!D190</f>
        <v>207.82</v>
      </c>
      <c r="D188" s="19">
        <f>Dados!F190</f>
        <v>135.78</v>
      </c>
      <c r="E188" s="19">
        <f>Dados!H190</f>
        <v>112.28</v>
      </c>
      <c r="F188" s="20">
        <f t="shared" ref="F188:I188" si="186">STANDARDIZE(B188,$L$7,$L$8)</f>
        <v>0.3895287958</v>
      </c>
      <c r="G188" s="20">
        <f t="shared" si="186"/>
        <v>5.942757417</v>
      </c>
      <c r="H188" s="20">
        <f t="shared" si="186"/>
        <v>3.428272251</v>
      </c>
      <c r="I188" s="20">
        <f t="shared" si="186"/>
        <v>2.608027923</v>
      </c>
    </row>
    <row r="189" ht="15.75" customHeight="1">
      <c r="A189" s="10">
        <f>Dados!A191</f>
        <v>44102.66667</v>
      </c>
      <c r="B189" s="19">
        <f>Dados!B191</f>
        <v>49.28</v>
      </c>
      <c r="C189" s="19">
        <f>Dados!D191</f>
        <v>209.44</v>
      </c>
      <c r="D189" s="19">
        <f>Dados!F191</f>
        <v>140.4</v>
      </c>
      <c r="E189" s="19">
        <f>Dados!H191</f>
        <v>114.96</v>
      </c>
      <c r="F189" s="20">
        <f t="shared" ref="F189:I189" si="187">STANDARDIZE(B189,$L$7,$L$8)</f>
        <v>0.4090750436</v>
      </c>
      <c r="G189" s="20">
        <f t="shared" si="187"/>
        <v>5.99930192</v>
      </c>
      <c r="H189" s="20">
        <f t="shared" si="187"/>
        <v>3.589528796</v>
      </c>
      <c r="I189" s="20">
        <f t="shared" si="187"/>
        <v>2.701570681</v>
      </c>
    </row>
    <row r="190" ht="15.75" customHeight="1">
      <c r="A190" s="10">
        <f>Dados!A192</f>
        <v>44103.66667</v>
      </c>
      <c r="B190" s="19">
        <f>Dados!B192</f>
        <v>48.92</v>
      </c>
      <c r="C190" s="19">
        <f>Dados!D192</f>
        <v>207.26</v>
      </c>
      <c r="D190" s="19">
        <f>Dados!F192</f>
        <v>139.69</v>
      </c>
      <c r="E190" s="19">
        <f>Dados!H192</f>
        <v>114.09</v>
      </c>
      <c r="F190" s="20">
        <f t="shared" ref="F190:I190" si="188">STANDARDIZE(B190,$L$7,$L$8)</f>
        <v>0.3965095986</v>
      </c>
      <c r="G190" s="20">
        <f t="shared" si="188"/>
        <v>5.923211169</v>
      </c>
      <c r="H190" s="20">
        <f t="shared" si="188"/>
        <v>3.564746946</v>
      </c>
      <c r="I190" s="20">
        <f t="shared" si="188"/>
        <v>2.671204188</v>
      </c>
    </row>
    <row r="191" ht="15.75" customHeight="1">
      <c r="A191" s="10">
        <f>Dados!A193</f>
        <v>44104.66667</v>
      </c>
      <c r="B191" s="19">
        <f>Dados!B193</f>
        <v>49.37</v>
      </c>
      <c r="C191" s="19">
        <f>Dados!D193</f>
        <v>210.33</v>
      </c>
      <c r="D191" s="19">
        <f>Dados!F193</f>
        <v>143</v>
      </c>
      <c r="E191" s="19">
        <f>Dados!H193</f>
        <v>115.81</v>
      </c>
      <c r="F191" s="20">
        <f t="shared" ref="F191:I191" si="189">STANDARDIZE(B191,$L$7,$L$8)</f>
        <v>0.4122164049</v>
      </c>
      <c r="G191" s="20">
        <f t="shared" si="189"/>
        <v>6.030366492</v>
      </c>
      <c r="H191" s="20">
        <f t="shared" si="189"/>
        <v>3.680279232</v>
      </c>
      <c r="I191" s="20">
        <f t="shared" si="189"/>
        <v>2.731239092</v>
      </c>
    </row>
    <row r="192" ht="15.75" customHeight="1">
      <c r="A192" s="10">
        <f>Dados!A194</f>
        <v>44105.66667</v>
      </c>
      <c r="B192" s="19">
        <f>Dados!B194</f>
        <v>49.18</v>
      </c>
      <c r="C192" s="19">
        <f>Dados!D194</f>
        <v>212.46</v>
      </c>
      <c r="D192" s="19">
        <f>Dados!F194</f>
        <v>149.39</v>
      </c>
      <c r="E192" s="19">
        <f>Dados!H194</f>
        <v>116.79</v>
      </c>
      <c r="F192" s="20">
        <f t="shared" ref="F192:I192" si="190">STANDARDIZE(B192,$L$7,$L$8)</f>
        <v>0.4055846422</v>
      </c>
      <c r="G192" s="20">
        <f t="shared" si="190"/>
        <v>6.104712042</v>
      </c>
      <c r="H192" s="20">
        <f t="shared" si="190"/>
        <v>3.903315881</v>
      </c>
      <c r="I192" s="20">
        <f t="shared" si="190"/>
        <v>2.765445026</v>
      </c>
    </row>
    <row r="193" ht="15.75" customHeight="1">
      <c r="A193" s="10">
        <f>Dados!A195</f>
        <v>44106.66667</v>
      </c>
      <c r="B193" s="19">
        <f>Dados!B195</f>
        <v>49.36</v>
      </c>
      <c r="C193" s="19">
        <f>Dados!D195</f>
        <v>206.19</v>
      </c>
      <c r="D193" s="19">
        <f>Dados!F195</f>
        <v>138.36</v>
      </c>
      <c r="E193" s="19">
        <f>Dados!H195</f>
        <v>113.02</v>
      </c>
      <c r="F193" s="20">
        <f t="shared" ref="F193:I193" si="191">STANDARDIZE(B193,$L$7,$L$8)</f>
        <v>0.4118673647</v>
      </c>
      <c r="G193" s="20">
        <f t="shared" si="191"/>
        <v>5.885863874</v>
      </c>
      <c r="H193" s="20">
        <f t="shared" si="191"/>
        <v>3.518324607</v>
      </c>
      <c r="I193" s="20">
        <f t="shared" si="191"/>
        <v>2.633856894</v>
      </c>
    </row>
    <row r="194" ht="15.75" customHeight="1">
      <c r="A194" s="10">
        <f>Dados!A196</f>
        <v>44109.66667</v>
      </c>
      <c r="B194" s="19">
        <f>Dados!B196</f>
        <v>49.38</v>
      </c>
      <c r="C194" s="19">
        <f>Dados!D196</f>
        <v>210.38</v>
      </c>
      <c r="D194" s="19">
        <f>Dados!F196</f>
        <v>141.89</v>
      </c>
      <c r="E194" s="19">
        <f>Dados!H196</f>
        <v>116.5</v>
      </c>
      <c r="F194" s="20">
        <f t="shared" ref="F194:I194" si="192">STANDARDIZE(B194,$L$7,$L$8)</f>
        <v>0.412565445</v>
      </c>
      <c r="G194" s="20">
        <f t="shared" si="192"/>
        <v>6.032111693</v>
      </c>
      <c r="H194" s="20">
        <f t="shared" si="192"/>
        <v>3.641535777</v>
      </c>
      <c r="I194" s="20">
        <f t="shared" si="192"/>
        <v>2.755322862</v>
      </c>
    </row>
    <row r="195" ht="15.75" customHeight="1">
      <c r="A195" s="10">
        <f>Dados!A197</f>
        <v>44110.66667</v>
      </c>
      <c r="B195" s="19">
        <f>Dados!B197</f>
        <v>48.94</v>
      </c>
      <c r="C195" s="19">
        <f>Dados!D197</f>
        <v>205.91</v>
      </c>
      <c r="D195" s="19">
        <f>Dados!F197</f>
        <v>137.99</v>
      </c>
      <c r="E195" s="19">
        <f>Dados!H197</f>
        <v>113.16</v>
      </c>
      <c r="F195" s="20">
        <f t="shared" ref="F195:I195" si="193">STANDARDIZE(B195,$L$7,$L$8)</f>
        <v>0.3972076789</v>
      </c>
      <c r="G195" s="20">
        <f t="shared" si="193"/>
        <v>5.87609075</v>
      </c>
      <c r="H195" s="20">
        <f t="shared" si="193"/>
        <v>3.505410122</v>
      </c>
      <c r="I195" s="20">
        <f t="shared" si="193"/>
        <v>2.638743455</v>
      </c>
    </row>
    <row r="196" ht="15.75" customHeight="1">
      <c r="A196" s="10">
        <f>Dados!A198</f>
        <v>44111.66667</v>
      </c>
      <c r="B196" s="19">
        <f>Dados!B198</f>
        <v>49.56</v>
      </c>
      <c r="C196" s="19">
        <f>Dados!D198</f>
        <v>209.83</v>
      </c>
      <c r="D196" s="19">
        <f>Dados!F198</f>
        <v>141.77</v>
      </c>
      <c r="E196" s="19">
        <f>Dados!H198</f>
        <v>115.08</v>
      </c>
      <c r="F196" s="20">
        <f t="shared" ref="F196:I196" si="194">STANDARDIZE(B196,$L$7,$L$8)</f>
        <v>0.4188481675</v>
      </c>
      <c r="G196" s="20">
        <f t="shared" si="194"/>
        <v>6.012914485</v>
      </c>
      <c r="H196" s="20">
        <f t="shared" si="194"/>
        <v>3.637347295</v>
      </c>
      <c r="I196" s="20">
        <f t="shared" si="194"/>
        <v>2.705759162</v>
      </c>
    </row>
    <row r="197" ht="15.75" customHeight="1">
      <c r="A197" s="10">
        <f>Dados!A199</f>
        <v>44112.66667</v>
      </c>
      <c r="B197" s="19">
        <f>Dados!B199</f>
        <v>50.46</v>
      </c>
      <c r="C197" s="19">
        <f>Dados!D199</f>
        <v>210.58</v>
      </c>
      <c r="D197" s="19">
        <f>Dados!F199</f>
        <v>141.97</v>
      </c>
      <c r="E197" s="19">
        <f>Dados!H199</f>
        <v>114.97</v>
      </c>
      <c r="F197" s="20">
        <f t="shared" ref="F197:I197" si="195">STANDARDIZE(B197,$L$7,$L$8)</f>
        <v>0.4502617801</v>
      </c>
      <c r="G197" s="20">
        <f t="shared" si="195"/>
        <v>6.039092496</v>
      </c>
      <c r="H197" s="20">
        <f t="shared" si="195"/>
        <v>3.644328098</v>
      </c>
      <c r="I197" s="20">
        <f t="shared" si="195"/>
        <v>2.701919721</v>
      </c>
    </row>
    <row r="198" ht="15.75" customHeight="1">
      <c r="A198" s="10">
        <f>Dados!A200</f>
        <v>44113.66667</v>
      </c>
      <c r="B198" s="19">
        <f>Dados!B200</f>
        <v>50.81</v>
      </c>
      <c r="C198" s="19">
        <f>Dados!D200</f>
        <v>215.81</v>
      </c>
      <c r="D198" s="19">
        <f>Dados!F200</f>
        <v>144.67</v>
      </c>
      <c r="E198" s="19">
        <f>Dados!H200</f>
        <v>116.97</v>
      </c>
      <c r="F198" s="20">
        <f t="shared" ref="F198:I198" si="196">STANDARDIZE(B198,$L$7,$L$8)</f>
        <v>0.462478185</v>
      </c>
      <c r="G198" s="20">
        <f t="shared" si="196"/>
        <v>6.221640489</v>
      </c>
      <c r="H198" s="20">
        <f t="shared" si="196"/>
        <v>3.738568935</v>
      </c>
      <c r="I198" s="20">
        <f t="shared" si="196"/>
        <v>2.771727749</v>
      </c>
    </row>
    <row r="199" ht="15.75" customHeight="1">
      <c r="A199" s="10">
        <f>Dados!A201</f>
        <v>44116.66667</v>
      </c>
      <c r="B199" s="19">
        <f>Dados!B201</f>
        <v>51.09</v>
      </c>
      <c r="C199" s="19">
        <f>Dados!D201</f>
        <v>221.4</v>
      </c>
      <c r="D199" s="19">
        <f>Dados!F201</f>
        <v>147.43</v>
      </c>
      <c r="E199" s="19">
        <f>Dados!H201</f>
        <v>124.4</v>
      </c>
      <c r="F199" s="20">
        <f t="shared" ref="F199:I199" si="197">STANDARDIZE(B199,$L$7,$L$8)</f>
        <v>0.4722513089</v>
      </c>
      <c r="G199" s="20">
        <f t="shared" si="197"/>
        <v>6.416753927</v>
      </c>
      <c r="H199" s="20">
        <f t="shared" si="197"/>
        <v>3.834904014</v>
      </c>
      <c r="I199" s="20">
        <f t="shared" si="197"/>
        <v>3.031064572</v>
      </c>
    </row>
    <row r="200" ht="15.75" customHeight="1">
      <c r="A200" s="10">
        <f>Dados!A202</f>
        <v>44117.66667</v>
      </c>
      <c r="B200" s="19">
        <f>Dados!B202</f>
        <v>50.22</v>
      </c>
      <c r="C200" s="19">
        <f>Dados!D202</f>
        <v>222.86</v>
      </c>
      <c r="D200" s="19">
        <f>Dados!F202</f>
        <v>148.88</v>
      </c>
      <c r="E200" s="19">
        <f>Dados!H202</f>
        <v>121.1</v>
      </c>
      <c r="F200" s="20">
        <f t="shared" ref="F200:I200" si="198">STANDARDIZE(B200,$L$7,$L$8)</f>
        <v>0.4418848168</v>
      </c>
      <c r="G200" s="20">
        <f t="shared" si="198"/>
        <v>6.467713787</v>
      </c>
      <c r="H200" s="20">
        <f t="shared" si="198"/>
        <v>3.885514834</v>
      </c>
      <c r="I200" s="20">
        <f t="shared" si="198"/>
        <v>2.915881326</v>
      </c>
    </row>
    <row r="201" ht="15.75" customHeight="1">
      <c r="A201" s="10">
        <f>Dados!A203</f>
        <v>44118.66667</v>
      </c>
      <c r="B201" s="19">
        <f>Dados!B203</f>
        <v>50.12</v>
      </c>
      <c r="C201" s="19">
        <f>Dados!D203</f>
        <v>220.86</v>
      </c>
      <c r="D201" s="19">
        <f>Dados!F203</f>
        <v>153.77</v>
      </c>
      <c r="E201" s="19">
        <f>Dados!H203</f>
        <v>121.19</v>
      </c>
      <c r="F201" s="20">
        <f t="shared" ref="F201:I201" si="199">STANDARDIZE(B201,$L$7,$L$8)</f>
        <v>0.4383944154</v>
      </c>
      <c r="G201" s="20">
        <f t="shared" si="199"/>
        <v>6.397905759</v>
      </c>
      <c r="H201" s="20">
        <f t="shared" si="199"/>
        <v>4.056195462</v>
      </c>
      <c r="I201" s="20">
        <f t="shared" si="199"/>
        <v>2.919022688</v>
      </c>
    </row>
    <row r="202" ht="15.75" customHeight="1">
      <c r="A202" s="10">
        <f>Dados!A204</f>
        <v>44119.66667</v>
      </c>
      <c r="B202" s="19">
        <f>Dados!B204</f>
        <v>49.99</v>
      </c>
      <c r="C202" s="19">
        <f>Dados!D204</f>
        <v>219.66</v>
      </c>
      <c r="D202" s="19">
        <f>Dados!F204</f>
        <v>149.63</v>
      </c>
      <c r="E202" s="19">
        <f>Dados!H204</f>
        <v>120.71</v>
      </c>
      <c r="F202" s="20">
        <f t="shared" ref="F202:I202" si="200">STANDARDIZE(B202,$L$7,$L$8)</f>
        <v>0.4338568935</v>
      </c>
      <c r="G202" s="20">
        <f t="shared" si="200"/>
        <v>6.356020942</v>
      </c>
      <c r="H202" s="20">
        <f t="shared" si="200"/>
        <v>3.911692845</v>
      </c>
      <c r="I202" s="20">
        <f t="shared" si="200"/>
        <v>2.902268761</v>
      </c>
    </row>
    <row r="203" ht="15.75" customHeight="1">
      <c r="A203" s="10">
        <f>Dados!A205</f>
        <v>44120.66667</v>
      </c>
      <c r="B203" s="19">
        <f>Dados!B205</f>
        <v>50.03</v>
      </c>
      <c r="C203" s="19">
        <f>Dados!D205</f>
        <v>219.66</v>
      </c>
      <c r="D203" s="19">
        <f>Dados!F205</f>
        <v>146.56</v>
      </c>
      <c r="E203" s="19">
        <f>Dados!H205</f>
        <v>119.02</v>
      </c>
      <c r="F203" s="20">
        <f t="shared" ref="F203:I203" si="201">STANDARDIZE(B203,$L$7,$L$8)</f>
        <v>0.4352530541</v>
      </c>
      <c r="G203" s="20">
        <f t="shared" si="201"/>
        <v>6.356020942</v>
      </c>
      <c r="H203" s="20">
        <f t="shared" si="201"/>
        <v>3.804537522</v>
      </c>
      <c r="I203" s="20">
        <f t="shared" si="201"/>
        <v>2.843280977</v>
      </c>
    </row>
    <row r="204" ht="15.75" customHeight="1">
      <c r="A204" s="10">
        <f>Dados!A206</f>
        <v>44123.66667</v>
      </c>
      <c r="B204" s="19">
        <f>Dados!B206</f>
        <v>49.62</v>
      </c>
      <c r="C204" s="19">
        <f>Dados!D206</f>
        <v>214.22</v>
      </c>
      <c r="D204" s="19">
        <f>Dados!F206</f>
        <v>143.61</v>
      </c>
      <c r="E204" s="19">
        <f>Dados!H206</f>
        <v>115.98</v>
      </c>
      <c r="F204" s="20">
        <f t="shared" ref="F204:I204" si="202">STANDARDIZE(B204,$L$7,$L$8)</f>
        <v>0.4209424084</v>
      </c>
      <c r="G204" s="20">
        <f t="shared" si="202"/>
        <v>6.166143106</v>
      </c>
      <c r="H204" s="20">
        <f t="shared" si="202"/>
        <v>3.701570681</v>
      </c>
      <c r="I204" s="20">
        <f t="shared" si="202"/>
        <v>2.737172775</v>
      </c>
    </row>
    <row r="205" ht="15.75" customHeight="1">
      <c r="A205" s="10">
        <f>Dados!A207</f>
        <v>44124.66667</v>
      </c>
      <c r="B205" s="19">
        <f>Dados!B207</f>
        <v>50.25</v>
      </c>
      <c r="C205" s="19">
        <f>Dados!D207</f>
        <v>214.65</v>
      </c>
      <c r="D205" s="19">
        <f>Dados!F207</f>
        <v>140.65</v>
      </c>
      <c r="E205" s="19">
        <f>Dados!H207</f>
        <v>117.51</v>
      </c>
      <c r="F205" s="20">
        <f t="shared" ref="F205:I205" si="203">STANDARDIZE(B205,$L$7,$L$8)</f>
        <v>0.4429319372</v>
      </c>
      <c r="G205" s="20">
        <f t="shared" si="203"/>
        <v>6.181151832</v>
      </c>
      <c r="H205" s="20">
        <f t="shared" si="203"/>
        <v>3.598254799</v>
      </c>
      <c r="I205" s="20">
        <f t="shared" si="203"/>
        <v>2.790575916</v>
      </c>
    </row>
    <row r="206" ht="15.75" customHeight="1">
      <c r="A206" s="10">
        <f>Dados!A208</f>
        <v>44125.66667</v>
      </c>
      <c r="B206" s="19">
        <f>Dados!B208</f>
        <v>49.99</v>
      </c>
      <c r="C206" s="19">
        <f>Dados!D208</f>
        <v>214.8</v>
      </c>
      <c r="D206" s="19">
        <f>Dados!F208</f>
        <v>140.88</v>
      </c>
      <c r="E206" s="19">
        <f>Dados!H208</f>
        <v>116.87</v>
      </c>
      <c r="F206" s="20">
        <f t="shared" ref="F206:I206" si="204">STANDARDIZE(B206,$L$7,$L$8)</f>
        <v>0.4338568935</v>
      </c>
      <c r="G206" s="20">
        <f t="shared" si="204"/>
        <v>6.186387435</v>
      </c>
      <c r="H206" s="20">
        <f t="shared" si="204"/>
        <v>3.606282723</v>
      </c>
      <c r="I206" s="20">
        <f t="shared" si="204"/>
        <v>2.768237347</v>
      </c>
    </row>
    <row r="207" ht="15.75" customHeight="1">
      <c r="A207" s="10">
        <f>Dados!A209</f>
        <v>44126.66667</v>
      </c>
      <c r="B207" s="19">
        <f>Dados!B209</f>
        <v>50.68</v>
      </c>
      <c r="C207" s="19">
        <f>Dados!D209</f>
        <v>214.89</v>
      </c>
      <c r="D207" s="19">
        <f>Dados!F209</f>
        <v>141.93</v>
      </c>
      <c r="E207" s="19">
        <f>Dados!H209</f>
        <v>115.75</v>
      </c>
      <c r="F207" s="20">
        <f t="shared" ref="F207:I207" si="205">STANDARDIZE(B207,$L$7,$L$8)</f>
        <v>0.4579406632</v>
      </c>
      <c r="G207" s="20">
        <f t="shared" si="205"/>
        <v>6.189528796</v>
      </c>
      <c r="H207" s="20">
        <f t="shared" si="205"/>
        <v>3.642931937</v>
      </c>
      <c r="I207" s="20">
        <f t="shared" si="205"/>
        <v>2.729144852</v>
      </c>
    </row>
    <row r="208" ht="15.75" customHeight="1">
      <c r="A208" s="10">
        <f>Dados!A210</f>
        <v>44127.66667</v>
      </c>
      <c r="B208" s="19">
        <f>Dados!B210</f>
        <v>50.52</v>
      </c>
      <c r="C208" s="19">
        <f>Dados!D210</f>
        <v>216.23</v>
      </c>
      <c r="D208" s="19">
        <f>Dados!F210</f>
        <v>140.21</v>
      </c>
      <c r="E208" s="19">
        <f>Dados!H210</f>
        <v>115.04</v>
      </c>
      <c r="F208" s="20">
        <f t="shared" ref="F208:I208" si="206">STANDARDIZE(B208,$L$7,$L$8)</f>
        <v>0.4523560209</v>
      </c>
      <c r="G208" s="20">
        <f t="shared" si="206"/>
        <v>6.236300175</v>
      </c>
      <c r="H208" s="20">
        <f t="shared" si="206"/>
        <v>3.582897033</v>
      </c>
      <c r="I208" s="20">
        <f t="shared" si="206"/>
        <v>2.704363002</v>
      </c>
    </row>
    <row r="209" ht="15.75" customHeight="1">
      <c r="A209" s="10">
        <f>Dados!A211</f>
        <v>44130.66667</v>
      </c>
      <c r="B209" s="19">
        <f>Dados!B211</f>
        <v>49.8</v>
      </c>
      <c r="C209" s="19">
        <f>Dados!D211</f>
        <v>210.08</v>
      </c>
      <c r="D209" s="19">
        <f>Dados!F211</f>
        <v>140.09</v>
      </c>
      <c r="E209" s="19">
        <f>Dados!H211</f>
        <v>115.05</v>
      </c>
      <c r="F209" s="20">
        <f t="shared" ref="F209:I209" si="207">STANDARDIZE(B209,$L$7,$L$8)</f>
        <v>0.4272251309</v>
      </c>
      <c r="G209" s="20">
        <f t="shared" si="207"/>
        <v>6.021640489</v>
      </c>
      <c r="H209" s="20">
        <f t="shared" si="207"/>
        <v>3.578708551</v>
      </c>
      <c r="I209" s="20">
        <f t="shared" si="207"/>
        <v>2.704712042</v>
      </c>
    </row>
    <row r="210" ht="15.75" customHeight="1">
      <c r="A210" s="10">
        <f>Dados!A212</f>
        <v>44131.66667</v>
      </c>
      <c r="B210" s="19">
        <f>Dados!B212</f>
        <v>49.9</v>
      </c>
      <c r="C210" s="19">
        <f>Dados!D212</f>
        <v>213.25</v>
      </c>
      <c r="D210" s="19">
        <f>Dados!F212</f>
        <v>141.56</v>
      </c>
      <c r="E210" s="19">
        <f>Dados!H212</f>
        <v>116.6</v>
      </c>
      <c r="F210" s="20">
        <f t="shared" ref="F210:I210" si="208">STANDARDIZE(B210,$L$7,$L$8)</f>
        <v>0.4307155323</v>
      </c>
      <c r="G210" s="20">
        <f t="shared" si="208"/>
        <v>6.132286213</v>
      </c>
      <c r="H210" s="20">
        <f t="shared" si="208"/>
        <v>3.630017452</v>
      </c>
      <c r="I210" s="20">
        <f t="shared" si="208"/>
        <v>2.758813264</v>
      </c>
    </row>
    <row r="211" ht="15.75" customHeight="1">
      <c r="A211" s="10">
        <f>Dados!A213</f>
        <v>44132.66667</v>
      </c>
      <c r="B211" s="19">
        <f>Dados!B213</f>
        <v>47.96</v>
      </c>
      <c r="C211" s="19">
        <f>Dados!D213</f>
        <v>202.68</v>
      </c>
      <c r="D211" s="19">
        <f>Dados!F213</f>
        <v>135.34</v>
      </c>
      <c r="E211" s="19">
        <f>Dados!H213</f>
        <v>111.2</v>
      </c>
      <c r="F211" s="20">
        <f t="shared" ref="F211:I211" si="209">STANDARDIZE(B211,$L$7,$L$8)</f>
        <v>0.3630017452</v>
      </c>
      <c r="G211" s="20">
        <f t="shared" si="209"/>
        <v>5.763350785</v>
      </c>
      <c r="H211" s="20">
        <f t="shared" si="209"/>
        <v>3.412914485</v>
      </c>
      <c r="I211" s="20">
        <f t="shared" si="209"/>
        <v>2.570331588</v>
      </c>
    </row>
    <row r="212" ht="15.75" customHeight="1">
      <c r="A212" s="10">
        <f>Dados!A214</f>
        <v>44133.66667</v>
      </c>
      <c r="B212" s="19">
        <f>Dados!B214</f>
        <v>48.02</v>
      </c>
      <c r="C212" s="19">
        <f>Dados!D214</f>
        <v>204.72</v>
      </c>
      <c r="D212" s="19">
        <f>Dados!F214</f>
        <v>136.94</v>
      </c>
      <c r="E212" s="19">
        <f>Dados!H214</f>
        <v>115.32</v>
      </c>
      <c r="F212" s="20">
        <f t="shared" ref="F212:I212" si="210">STANDARDIZE(B212,$L$7,$L$8)</f>
        <v>0.365095986</v>
      </c>
      <c r="G212" s="20">
        <f t="shared" si="210"/>
        <v>5.834554974</v>
      </c>
      <c r="H212" s="20">
        <f t="shared" si="210"/>
        <v>3.468760908</v>
      </c>
      <c r="I212" s="20">
        <f t="shared" si="210"/>
        <v>2.714136126</v>
      </c>
    </row>
    <row r="213" ht="15.75" customHeight="1">
      <c r="A213" s="10">
        <f>Dados!A215</f>
        <v>44134.66667</v>
      </c>
      <c r="B213" s="19">
        <f>Dados!B215</f>
        <v>48.06</v>
      </c>
      <c r="C213" s="19">
        <f>Dados!D215</f>
        <v>202.47</v>
      </c>
      <c r="D213" s="19">
        <f>Dados!F215</f>
        <v>129.35</v>
      </c>
      <c r="E213" s="19">
        <f>Dados!H215</f>
        <v>108.86</v>
      </c>
      <c r="F213" s="20">
        <f t="shared" ref="F213:I213" si="211">STANDARDIZE(B213,$L$7,$L$8)</f>
        <v>0.3664921466</v>
      </c>
      <c r="G213" s="20">
        <f t="shared" si="211"/>
        <v>5.756020942</v>
      </c>
      <c r="H213" s="20">
        <f t="shared" si="211"/>
        <v>3.203839442</v>
      </c>
      <c r="I213" s="20">
        <f t="shared" si="211"/>
        <v>2.488656195</v>
      </c>
    </row>
    <row r="214" ht="15.75" customHeight="1">
      <c r="A214" s="10">
        <f>Dados!A216</f>
        <v>44137.66667</v>
      </c>
      <c r="B214" s="19">
        <f>Dados!B216</f>
        <v>48.62</v>
      </c>
      <c r="C214" s="19">
        <f>Dados!D216</f>
        <v>202.33</v>
      </c>
      <c r="D214" s="19">
        <f>Dados!F216</f>
        <v>133.5</v>
      </c>
      <c r="E214" s="19">
        <f>Dados!H216</f>
        <v>108.77</v>
      </c>
      <c r="F214" s="20">
        <f t="shared" ref="F214:I214" si="212">STANDARDIZE(B214,$L$7,$L$8)</f>
        <v>0.3860383944</v>
      </c>
      <c r="G214" s="20">
        <f t="shared" si="212"/>
        <v>5.75113438</v>
      </c>
      <c r="H214" s="20">
        <f t="shared" si="212"/>
        <v>3.348691099</v>
      </c>
      <c r="I214" s="20">
        <f t="shared" si="212"/>
        <v>2.485514834</v>
      </c>
    </row>
    <row r="215" ht="15.75" customHeight="1">
      <c r="A215" s="10">
        <f>Dados!A217</f>
        <v>44138.66667</v>
      </c>
      <c r="B215" s="19">
        <f>Dados!B217</f>
        <v>49.35</v>
      </c>
      <c r="C215" s="19">
        <f>Dados!D217</f>
        <v>206.43</v>
      </c>
      <c r="D215" s="19">
        <f>Dados!F217</f>
        <v>141.3</v>
      </c>
      <c r="E215" s="19">
        <f>Dados!H217</f>
        <v>110.44</v>
      </c>
      <c r="F215" s="20">
        <f t="shared" ref="F215:I215" si="213">STANDARDIZE(B215,$L$7,$L$8)</f>
        <v>0.4115183246</v>
      </c>
      <c r="G215" s="20">
        <f t="shared" si="213"/>
        <v>5.894240838</v>
      </c>
      <c r="H215" s="20">
        <f t="shared" si="213"/>
        <v>3.620942408</v>
      </c>
      <c r="I215" s="20">
        <f t="shared" si="213"/>
        <v>2.543804538</v>
      </c>
    </row>
    <row r="216" ht="15.75" customHeight="1">
      <c r="A216" s="10">
        <f>Dados!A218</f>
        <v>44139.66667</v>
      </c>
      <c r="B216" s="19">
        <f>Dados!B218</f>
        <v>49.17</v>
      </c>
      <c r="C216" s="19">
        <f>Dados!D218</f>
        <v>216.39</v>
      </c>
      <c r="D216" s="19">
        <f>Dados!F218</f>
        <v>140.33</v>
      </c>
      <c r="E216" s="19">
        <f>Dados!H218</f>
        <v>114.95</v>
      </c>
      <c r="F216" s="20">
        <f t="shared" ref="F216:I216" si="214">STANDARDIZE(B216,$L$7,$L$8)</f>
        <v>0.4052356021</v>
      </c>
      <c r="G216" s="20">
        <f t="shared" si="214"/>
        <v>6.241884817</v>
      </c>
      <c r="H216" s="20">
        <f t="shared" si="214"/>
        <v>3.587085515</v>
      </c>
      <c r="I216" s="20">
        <f t="shared" si="214"/>
        <v>2.70122164</v>
      </c>
    </row>
    <row r="217" ht="15.75" customHeight="1">
      <c r="A217" s="10">
        <f>Dados!A219</f>
        <v>44140.66667</v>
      </c>
      <c r="B217" s="19">
        <f>Dados!B219</f>
        <v>49.44</v>
      </c>
      <c r="C217" s="19">
        <f>Dados!D219</f>
        <v>223.29</v>
      </c>
      <c r="D217" s="19">
        <f>Dados!F219</f>
        <v>146.03</v>
      </c>
      <c r="E217" s="19">
        <f>Dados!H219</f>
        <v>119.03</v>
      </c>
      <c r="F217" s="20">
        <f t="shared" ref="F217:I217" si="215">STANDARDIZE(B217,$L$7,$L$8)</f>
        <v>0.4146596859</v>
      </c>
      <c r="G217" s="20">
        <f t="shared" si="215"/>
        <v>6.482722513</v>
      </c>
      <c r="H217" s="20">
        <f t="shared" si="215"/>
        <v>3.786038394</v>
      </c>
      <c r="I217" s="20">
        <f t="shared" si="215"/>
        <v>2.843630017</v>
      </c>
    </row>
    <row r="218" ht="15.75" customHeight="1">
      <c r="A218" s="10">
        <f>Dados!A220</f>
        <v>44141.66667</v>
      </c>
      <c r="B218" s="19">
        <f>Dados!B220</f>
        <v>49.45</v>
      </c>
      <c r="C218" s="19">
        <f>Dados!D220</f>
        <v>223.72</v>
      </c>
      <c r="D218" s="19">
        <f>Dados!F220</f>
        <v>143.32</v>
      </c>
      <c r="E218" s="19">
        <f>Dados!H220</f>
        <v>118.69</v>
      </c>
      <c r="F218" s="20">
        <f t="shared" ref="F218:I218" si="216">STANDARDIZE(B218,$L$7,$L$8)</f>
        <v>0.415008726</v>
      </c>
      <c r="G218" s="20">
        <f t="shared" si="216"/>
        <v>6.497731239</v>
      </c>
      <c r="H218" s="20">
        <f t="shared" si="216"/>
        <v>3.691448517</v>
      </c>
      <c r="I218" s="20">
        <f t="shared" si="216"/>
        <v>2.831762653</v>
      </c>
    </row>
    <row r="219" ht="15.75" customHeight="1">
      <c r="A219" s="10">
        <f>Dados!A221</f>
        <v>44144.66667</v>
      </c>
      <c r="B219" s="19">
        <f>Dados!B221</f>
        <v>52.57</v>
      </c>
      <c r="C219" s="19">
        <f>Dados!D221</f>
        <v>218.39</v>
      </c>
      <c r="D219" s="19">
        <f>Dados!F221</f>
        <v>140.42</v>
      </c>
      <c r="E219" s="19">
        <f>Dados!H221</f>
        <v>116.32</v>
      </c>
      <c r="F219" s="20">
        <f t="shared" ref="F219:I219" si="217">STANDARDIZE(B219,$L$7,$L$8)</f>
        <v>0.5239092496</v>
      </c>
      <c r="G219" s="20">
        <f t="shared" si="217"/>
        <v>6.311692845</v>
      </c>
      <c r="H219" s="20">
        <f t="shared" si="217"/>
        <v>3.590226876</v>
      </c>
      <c r="I219" s="20">
        <f t="shared" si="217"/>
        <v>2.74904014</v>
      </c>
    </row>
    <row r="220" ht="15.75" customHeight="1">
      <c r="A220" s="10">
        <f>Dados!A222</f>
        <v>44145.66667</v>
      </c>
      <c r="B220" s="19">
        <f>Dados!B222</f>
        <v>53.98</v>
      </c>
      <c r="C220" s="19">
        <f>Dados!D222</f>
        <v>211.01</v>
      </c>
      <c r="D220" s="19">
        <f>Dados!F222</f>
        <v>136.79</v>
      </c>
      <c r="E220" s="19">
        <f>Dados!H222</f>
        <v>115.97</v>
      </c>
      <c r="F220" s="20">
        <f t="shared" ref="F220:I220" si="218">STANDARDIZE(B220,$L$7,$L$8)</f>
        <v>0.5731239092</v>
      </c>
      <c r="G220" s="20">
        <f t="shared" si="218"/>
        <v>6.054101222</v>
      </c>
      <c r="H220" s="20">
        <f t="shared" si="218"/>
        <v>3.463525305</v>
      </c>
      <c r="I220" s="20">
        <f t="shared" si="218"/>
        <v>2.736823735</v>
      </c>
    </row>
    <row r="221" ht="15.75" customHeight="1">
      <c r="A221" s="10">
        <f>Dados!A223</f>
        <v>44146.66667</v>
      </c>
      <c r="B221" s="19">
        <f>Dados!B223</f>
        <v>53.58</v>
      </c>
      <c r="C221" s="19">
        <f>Dados!D223</f>
        <v>216.55</v>
      </c>
      <c r="D221" s="19">
        <f>Dados!F223</f>
        <v>139.04</v>
      </c>
      <c r="E221" s="19">
        <f>Dados!H223</f>
        <v>119.49</v>
      </c>
      <c r="F221" s="20">
        <f t="shared" ref="F221:I221" si="219">STANDARDIZE(B221,$L$7,$L$8)</f>
        <v>0.5591623037</v>
      </c>
      <c r="G221" s="20">
        <f t="shared" si="219"/>
        <v>6.247469459</v>
      </c>
      <c r="H221" s="20">
        <f t="shared" si="219"/>
        <v>3.542059337</v>
      </c>
      <c r="I221" s="20">
        <f t="shared" si="219"/>
        <v>2.859685864</v>
      </c>
    </row>
    <row r="222" ht="15.75" customHeight="1">
      <c r="A222" s="10">
        <f>Dados!A224</f>
        <v>44147.66667</v>
      </c>
      <c r="B222" s="19">
        <f>Dados!B224</f>
        <v>53.01</v>
      </c>
      <c r="C222" s="19">
        <f>Dados!D224</f>
        <v>215.44</v>
      </c>
      <c r="D222" s="19">
        <f>Dados!F224</f>
        <v>137.25</v>
      </c>
      <c r="E222" s="19">
        <f>Dados!H224</f>
        <v>119.21</v>
      </c>
      <c r="F222" s="20">
        <f t="shared" ref="F222:I222" si="220">STANDARDIZE(B222,$L$7,$L$8)</f>
        <v>0.5392670157</v>
      </c>
      <c r="G222" s="20">
        <f t="shared" si="220"/>
        <v>6.208726003</v>
      </c>
      <c r="H222" s="20">
        <f t="shared" si="220"/>
        <v>3.479581152</v>
      </c>
      <c r="I222" s="20">
        <f t="shared" si="220"/>
        <v>2.84991274</v>
      </c>
    </row>
    <row r="223" ht="15.75" customHeight="1">
      <c r="A223" s="10">
        <f>Dados!A225</f>
        <v>44148.66667</v>
      </c>
      <c r="B223" s="19">
        <f>Dados!B225</f>
        <v>53.45</v>
      </c>
      <c r="C223" s="19">
        <f>Dados!D225</f>
        <v>216.51</v>
      </c>
      <c r="D223" s="19">
        <f>Dados!F225</f>
        <v>136.17</v>
      </c>
      <c r="E223" s="19">
        <f>Dados!H225</f>
        <v>119.26</v>
      </c>
      <c r="F223" s="20">
        <f t="shared" ref="F223:I223" si="221">STANDARDIZE(B223,$L$7,$L$8)</f>
        <v>0.5546247818</v>
      </c>
      <c r="G223" s="20">
        <f t="shared" si="221"/>
        <v>6.246073298</v>
      </c>
      <c r="H223" s="20">
        <f t="shared" si="221"/>
        <v>3.441884817</v>
      </c>
      <c r="I223" s="20">
        <f t="shared" si="221"/>
        <v>2.851657941</v>
      </c>
    </row>
    <row r="224" ht="15.75" customHeight="1">
      <c r="A224" s="10">
        <f>Dados!A226</f>
        <v>44151.66667</v>
      </c>
      <c r="B224" s="19">
        <f>Dados!B226</f>
        <v>53.85</v>
      </c>
      <c r="C224" s="19">
        <f>Dados!D226</f>
        <v>217.23</v>
      </c>
      <c r="D224" s="19">
        <f>Dados!F226</f>
        <v>136.03</v>
      </c>
      <c r="E224" s="19">
        <f>Dados!H226</f>
        <v>120.3</v>
      </c>
      <c r="F224" s="20">
        <f t="shared" ref="F224:I224" si="222">STANDARDIZE(B224,$L$7,$L$8)</f>
        <v>0.5685863874</v>
      </c>
      <c r="G224" s="20">
        <f t="shared" si="222"/>
        <v>6.271204188</v>
      </c>
      <c r="H224" s="20">
        <f t="shared" si="222"/>
        <v>3.436998255</v>
      </c>
      <c r="I224" s="20">
        <f t="shared" si="222"/>
        <v>2.887958115</v>
      </c>
    </row>
    <row r="225" ht="15.75" customHeight="1">
      <c r="A225" s="10">
        <f>Dados!A227</f>
        <v>44152.66667</v>
      </c>
      <c r="B225" s="19">
        <f>Dados!B227</f>
        <v>53.68</v>
      </c>
      <c r="C225" s="19">
        <f>Dados!D227</f>
        <v>214.46</v>
      </c>
      <c r="D225" s="19">
        <f>Dados!F227</f>
        <v>147.2</v>
      </c>
      <c r="E225" s="19">
        <f>Dados!H227</f>
        <v>119.39</v>
      </c>
      <c r="F225" s="20">
        <f t="shared" ref="F225:I225" si="223">STANDARDIZE(B225,$L$7,$L$8)</f>
        <v>0.5626527051</v>
      </c>
      <c r="G225" s="20">
        <f t="shared" si="223"/>
        <v>6.17452007</v>
      </c>
      <c r="H225" s="20">
        <f t="shared" si="223"/>
        <v>3.826876091</v>
      </c>
      <c r="I225" s="20">
        <f t="shared" si="223"/>
        <v>2.856195462</v>
      </c>
    </row>
    <row r="226" ht="15.75" customHeight="1">
      <c r="A226" s="10">
        <f>Dados!A228</f>
        <v>44153.66667</v>
      </c>
      <c r="B226" s="19">
        <f>Dados!B228</f>
        <v>52.61</v>
      </c>
      <c r="C226" s="19">
        <f>Dados!D228</f>
        <v>211.08</v>
      </c>
      <c r="D226" s="19">
        <f>Dados!F228</f>
        <v>162.21</v>
      </c>
      <c r="E226" s="19">
        <f>Dados!H228</f>
        <v>118.03</v>
      </c>
      <c r="F226" s="20">
        <f t="shared" ref="F226:I226" si="224">STANDARDIZE(B226,$L$7,$L$8)</f>
        <v>0.5253054101</v>
      </c>
      <c r="G226" s="20">
        <f t="shared" si="224"/>
        <v>6.056544503</v>
      </c>
      <c r="H226" s="20">
        <f t="shared" si="224"/>
        <v>4.35078534</v>
      </c>
      <c r="I226" s="20">
        <f t="shared" si="224"/>
        <v>2.808726003</v>
      </c>
    </row>
    <row r="227" ht="15.75" customHeight="1">
      <c r="A227" s="10">
        <f>Dados!A229</f>
        <v>44154.66667</v>
      </c>
      <c r="B227" s="19">
        <f>Dados!B229</f>
        <v>53.13</v>
      </c>
      <c r="C227" s="19">
        <f>Dados!D229</f>
        <v>212.42</v>
      </c>
      <c r="D227" s="19">
        <f>Dados!F229</f>
        <v>166.42</v>
      </c>
      <c r="E227" s="19">
        <f>Dados!H229</f>
        <v>118.64</v>
      </c>
      <c r="F227" s="20">
        <f t="shared" ref="F227:I227" si="225">STANDARDIZE(B227,$L$7,$L$8)</f>
        <v>0.5434554974</v>
      </c>
      <c r="G227" s="20">
        <f t="shared" si="225"/>
        <v>6.103315881</v>
      </c>
      <c r="H227" s="20">
        <f t="shared" si="225"/>
        <v>4.497731239</v>
      </c>
      <c r="I227" s="20">
        <f t="shared" si="225"/>
        <v>2.830017452</v>
      </c>
    </row>
    <row r="228" ht="15.75" customHeight="1">
      <c r="A228" s="10">
        <f>Dados!A230</f>
        <v>44155.66667</v>
      </c>
      <c r="B228" s="19">
        <f>Dados!B230</f>
        <v>52.67</v>
      </c>
      <c r="C228" s="19">
        <f>Dados!D230</f>
        <v>210.39</v>
      </c>
      <c r="D228" s="19">
        <f>Dados!F230</f>
        <v>163.2</v>
      </c>
      <c r="E228" s="19">
        <f>Dados!H230</f>
        <v>117.34</v>
      </c>
      <c r="F228" s="20">
        <f t="shared" ref="F228:I228" si="226">STANDARDIZE(B228,$L$7,$L$8)</f>
        <v>0.527399651</v>
      </c>
      <c r="G228" s="20">
        <f t="shared" si="226"/>
        <v>6.032460733</v>
      </c>
      <c r="H228" s="20">
        <f t="shared" si="226"/>
        <v>4.385340314</v>
      </c>
      <c r="I228" s="20">
        <f t="shared" si="226"/>
        <v>2.784642234</v>
      </c>
    </row>
    <row r="229" ht="15.75" customHeight="1">
      <c r="A229" s="10">
        <f>Dados!A231</f>
        <v>44158.66667</v>
      </c>
      <c r="B229" s="19">
        <f>Dados!B231</f>
        <v>52.68</v>
      </c>
      <c r="C229" s="19">
        <f>Dados!D231</f>
        <v>210.11</v>
      </c>
      <c r="D229" s="19">
        <f>Dados!F231</f>
        <v>173.95</v>
      </c>
      <c r="E229" s="19">
        <f>Dados!H231</f>
        <v>113.85</v>
      </c>
      <c r="F229" s="20">
        <f t="shared" ref="F229:I229" si="227">STANDARDIZE(B229,$L$7,$L$8)</f>
        <v>0.5277486911</v>
      </c>
      <c r="G229" s="20">
        <f t="shared" si="227"/>
        <v>6.022687609</v>
      </c>
      <c r="H229" s="20">
        <f t="shared" si="227"/>
        <v>4.760558464</v>
      </c>
      <c r="I229" s="20">
        <f t="shared" si="227"/>
        <v>2.662827225</v>
      </c>
    </row>
    <row r="230" ht="15.75" customHeight="1">
      <c r="A230" s="10">
        <f>Dados!A232</f>
        <v>44159.66667</v>
      </c>
      <c r="B230" s="19">
        <f>Dados!B232</f>
        <v>53.22</v>
      </c>
      <c r="C230" s="19">
        <f>Dados!D232</f>
        <v>213.86</v>
      </c>
      <c r="D230" s="19">
        <f>Dados!F232</f>
        <v>185.13</v>
      </c>
      <c r="E230" s="19">
        <f>Dados!H232</f>
        <v>115.17</v>
      </c>
      <c r="F230" s="20">
        <f t="shared" ref="F230:I230" si="228">STANDARDIZE(B230,$L$7,$L$8)</f>
        <v>0.5465968586</v>
      </c>
      <c r="G230" s="20">
        <f t="shared" si="228"/>
        <v>6.153577661</v>
      </c>
      <c r="H230" s="20">
        <f t="shared" si="228"/>
        <v>5.15078534</v>
      </c>
      <c r="I230" s="20">
        <f t="shared" si="228"/>
        <v>2.708900524</v>
      </c>
    </row>
    <row r="231" ht="15.75" customHeight="1">
      <c r="A231" s="10">
        <f>Dados!A233</f>
        <v>44160.66667</v>
      </c>
      <c r="B231" s="19">
        <f>Dados!B233</f>
        <v>52.93</v>
      </c>
      <c r="C231" s="19">
        <f>Dados!D233</f>
        <v>213.87</v>
      </c>
      <c r="D231" s="19">
        <f>Dados!F233</f>
        <v>191.33</v>
      </c>
      <c r="E231" s="19">
        <f>Dados!H233</f>
        <v>116.03</v>
      </c>
      <c r="F231" s="20">
        <f t="shared" ref="F231:I231" si="229">STANDARDIZE(B231,$L$7,$L$8)</f>
        <v>0.5364746946</v>
      </c>
      <c r="G231" s="20">
        <f t="shared" si="229"/>
        <v>6.153926702</v>
      </c>
      <c r="H231" s="20">
        <f t="shared" si="229"/>
        <v>5.367190227</v>
      </c>
      <c r="I231" s="20">
        <f t="shared" si="229"/>
        <v>2.738917976</v>
      </c>
    </row>
    <row r="232" ht="15.75" customHeight="1">
      <c r="A232" s="10">
        <f>Dados!A234</f>
        <v>44162.54167</v>
      </c>
      <c r="B232" s="19">
        <f>Dados!B234</f>
        <v>52.7</v>
      </c>
      <c r="C232" s="19">
        <f>Dados!D234</f>
        <v>215.23</v>
      </c>
      <c r="D232" s="19">
        <f>Dados!F234</f>
        <v>195.25</v>
      </c>
      <c r="E232" s="19">
        <f>Dados!H234</f>
        <v>116.59</v>
      </c>
      <c r="F232" s="20">
        <f t="shared" ref="F232:I232" si="230">STANDARDIZE(B232,$L$7,$L$8)</f>
        <v>0.5284467714</v>
      </c>
      <c r="G232" s="20">
        <f t="shared" si="230"/>
        <v>6.201396161</v>
      </c>
      <c r="H232" s="20">
        <f t="shared" si="230"/>
        <v>5.504013962</v>
      </c>
      <c r="I232" s="20">
        <f t="shared" si="230"/>
        <v>2.758464223</v>
      </c>
    </row>
    <row r="233" ht="15.75" customHeight="1">
      <c r="A233" s="10">
        <f>Dados!A235</f>
        <v>44165.66667</v>
      </c>
      <c r="B233" s="19">
        <f>Dados!B235</f>
        <v>51.6</v>
      </c>
      <c r="C233" s="19">
        <f>Dados!D235</f>
        <v>214.07</v>
      </c>
      <c r="D233" s="19">
        <f>Dados!F235</f>
        <v>189.2</v>
      </c>
      <c r="E233" s="19">
        <f>Dados!H235</f>
        <v>119.05</v>
      </c>
      <c r="F233" s="20">
        <f t="shared" ref="F233:I233" si="231">STANDARDIZE(B233,$L$7,$L$8)</f>
        <v>0.490052356</v>
      </c>
      <c r="G233" s="20">
        <f t="shared" si="231"/>
        <v>6.160907504</v>
      </c>
      <c r="H233" s="20">
        <f t="shared" si="231"/>
        <v>5.292844677</v>
      </c>
      <c r="I233" s="20">
        <f t="shared" si="231"/>
        <v>2.844328098</v>
      </c>
    </row>
    <row r="234" ht="15.75" customHeight="1">
      <c r="A234" s="10">
        <f>Dados!A236</f>
        <v>44166.66667</v>
      </c>
      <c r="B234" s="19">
        <f>Dados!B236</f>
        <v>52.04</v>
      </c>
      <c r="C234" s="19">
        <f>Dados!D236</f>
        <v>216.21</v>
      </c>
      <c r="D234" s="19">
        <f>Dados!F236</f>
        <v>194.92</v>
      </c>
      <c r="E234" s="19">
        <f>Dados!H236</f>
        <v>122.72</v>
      </c>
      <c r="F234" s="20">
        <f t="shared" ref="F234:I234" si="232">STANDARDIZE(B234,$L$7,$L$8)</f>
        <v>0.5054101222</v>
      </c>
      <c r="G234" s="20">
        <f t="shared" si="232"/>
        <v>6.235602094</v>
      </c>
      <c r="H234" s="20">
        <f t="shared" si="232"/>
        <v>5.492495637</v>
      </c>
      <c r="I234" s="20">
        <f t="shared" si="232"/>
        <v>2.972425829</v>
      </c>
    </row>
    <row r="235" ht="15.75" customHeight="1">
      <c r="A235" s="10">
        <f>Dados!A237</f>
        <v>44167.66667</v>
      </c>
      <c r="B235" s="19">
        <f>Dados!B237</f>
        <v>52.11</v>
      </c>
      <c r="C235" s="19">
        <f>Dados!D237</f>
        <v>215.37</v>
      </c>
      <c r="D235" s="19">
        <f>Dados!F237</f>
        <v>189.61</v>
      </c>
      <c r="E235" s="19">
        <f>Dados!H237</f>
        <v>123.08</v>
      </c>
      <c r="F235" s="20">
        <f t="shared" ref="F235:I235" si="233">STANDARDIZE(B235,$L$7,$L$8)</f>
        <v>0.5078534031</v>
      </c>
      <c r="G235" s="20">
        <f t="shared" si="233"/>
        <v>6.206282723</v>
      </c>
      <c r="H235" s="20">
        <f t="shared" si="233"/>
        <v>5.307155323</v>
      </c>
      <c r="I235" s="20">
        <f t="shared" si="233"/>
        <v>2.984991274</v>
      </c>
    </row>
    <row r="236" ht="15.75" customHeight="1">
      <c r="A236" s="10">
        <f>Dados!A238</f>
        <v>44168.66667</v>
      </c>
      <c r="B236" s="19">
        <f>Dados!B238</f>
        <v>52.78</v>
      </c>
      <c r="C236" s="19">
        <f>Dados!D238</f>
        <v>214.24</v>
      </c>
      <c r="D236" s="19">
        <f>Dados!F238</f>
        <v>197.79</v>
      </c>
      <c r="E236" s="19">
        <f>Dados!H238</f>
        <v>122.94</v>
      </c>
      <c r="F236" s="20">
        <f t="shared" ref="F236:I236" si="234">STANDARDIZE(B236,$L$7,$L$8)</f>
        <v>0.5312390925</v>
      </c>
      <c r="G236" s="20">
        <f t="shared" si="234"/>
        <v>6.166841187</v>
      </c>
      <c r="H236" s="20">
        <f t="shared" si="234"/>
        <v>5.592670157</v>
      </c>
      <c r="I236" s="20">
        <f t="shared" si="234"/>
        <v>2.980104712</v>
      </c>
    </row>
    <row r="237" ht="15.75" customHeight="1">
      <c r="A237" s="10">
        <f>Dados!A239</f>
        <v>44169.66667</v>
      </c>
      <c r="B237" s="19">
        <f>Dados!B239</f>
        <v>53.85</v>
      </c>
      <c r="C237" s="19">
        <f>Dados!D239</f>
        <v>214.36</v>
      </c>
      <c r="D237" s="19">
        <f>Dados!F239</f>
        <v>199.68</v>
      </c>
      <c r="E237" s="19">
        <f>Dados!H239</f>
        <v>122.25</v>
      </c>
      <c r="F237" s="20">
        <f t="shared" ref="F237:I237" si="235">STANDARDIZE(B237,$L$7,$L$8)</f>
        <v>0.5685863874</v>
      </c>
      <c r="G237" s="20">
        <f t="shared" si="235"/>
        <v>6.171029668</v>
      </c>
      <c r="H237" s="20">
        <f t="shared" si="235"/>
        <v>5.658638743</v>
      </c>
      <c r="I237" s="20">
        <f t="shared" si="235"/>
        <v>2.956020942</v>
      </c>
    </row>
    <row r="238" ht="15.75" customHeight="1">
      <c r="A238" s="10">
        <f>Dados!A240</f>
        <v>44172.66667</v>
      </c>
      <c r="B238" s="19">
        <f>Dados!B240</f>
        <v>52.99</v>
      </c>
      <c r="C238" s="19">
        <f>Dados!D240</f>
        <v>214.29</v>
      </c>
      <c r="D238" s="19">
        <f>Dados!F240</f>
        <v>213.92</v>
      </c>
      <c r="E238" s="19">
        <f>Dados!H240</f>
        <v>123.75</v>
      </c>
      <c r="F238" s="20">
        <f t="shared" ref="F238:I238" si="236">STANDARDIZE(B238,$L$7,$L$8)</f>
        <v>0.5385689354</v>
      </c>
      <c r="G238" s="20">
        <f t="shared" si="236"/>
        <v>6.168586387</v>
      </c>
      <c r="H238" s="20">
        <f t="shared" si="236"/>
        <v>6.155671902</v>
      </c>
      <c r="I238" s="20">
        <f t="shared" si="236"/>
        <v>3.008376963</v>
      </c>
    </row>
    <row r="239" ht="15.75" customHeight="1">
      <c r="A239" s="10">
        <f>Dados!A241</f>
        <v>44173.66667</v>
      </c>
      <c r="B239" s="19">
        <f>Dados!B241</f>
        <v>53.18</v>
      </c>
      <c r="C239" s="19">
        <f>Dados!D241</f>
        <v>216.01</v>
      </c>
      <c r="D239" s="19">
        <f>Dados!F241</f>
        <v>216.63</v>
      </c>
      <c r="E239" s="19">
        <f>Dados!H241</f>
        <v>124.38</v>
      </c>
      <c r="F239" s="20">
        <f t="shared" ref="F239:I239" si="237">STANDARDIZE(B239,$L$7,$L$8)</f>
        <v>0.5452006981</v>
      </c>
      <c r="G239" s="20">
        <f t="shared" si="237"/>
        <v>6.228621291</v>
      </c>
      <c r="H239" s="20">
        <f t="shared" si="237"/>
        <v>6.25026178</v>
      </c>
      <c r="I239" s="20">
        <f t="shared" si="237"/>
        <v>3.030366492</v>
      </c>
    </row>
    <row r="240" ht="15.75" customHeight="1">
      <c r="A240" s="10">
        <f>Dados!A242</f>
        <v>44174.66667</v>
      </c>
      <c r="B240" s="19">
        <f>Dados!B242</f>
        <v>53.33</v>
      </c>
      <c r="C240" s="19">
        <f>Dados!D242</f>
        <v>211.8</v>
      </c>
      <c r="D240" s="19">
        <f>Dados!F242</f>
        <v>201.49</v>
      </c>
      <c r="E240" s="19">
        <f>Dados!H242</f>
        <v>121.78</v>
      </c>
      <c r="F240" s="20">
        <f t="shared" ref="F240:I240" si="238">STANDARDIZE(B240,$L$7,$L$8)</f>
        <v>0.5504363002</v>
      </c>
      <c r="G240" s="20">
        <f t="shared" si="238"/>
        <v>6.081675393</v>
      </c>
      <c r="H240" s="20">
        <f t="shared" si="238"/>
        <v>5.721815009</v>
      </c>
      <c r="I240" s="20">
        <f t="shared" si="238"/>
        <v>2.939616056</v>
      </c>
    </row>
    <row r="241" ht="15.75" customHeight="1">
      <c r="A241" s="10">
        <f>Dados!A243</f>
        <v>44175.66667</v>
      </c>
      <c r="B241" s="19">
        <f>Dados!B243</f>
        <v>53.05</v>
      </c>
      <c r="C241" s="19">
        <f>Dados!D243</f>
        <v>210.52</v>
      </c>
      <c r="D241" s="19">
        <f>Dados!F243</f>
        <v>209.02</v>
      </c>
      <c r="E241" s="19">
        <f>Dados!H243</f>
        <v>123.24</v>
      </c>
      <c r="F241" s="20">
        <f t="shared" ref="F241:I241" si="239">STANDARDIZE(B241,$L$7,$L$8)</f>
        <v>0.5406631763</v>
      </c>
      <c r="G241" s="20">
        <f t="shared" si="239"/>
        <v>6.036998255</v>
      </c>
      <c r="H241" s="20">
        <f t="shared" si="239"/>
        <v>5.984642234</v>
      </c>
      <c r="I241" s="20">
        <f t="shared" si="239"/>
        <v>2.990575916</v>
      </c>
    </row>
    <row r="242" ht="15.75" customHeight="1">
      <c r="A242" s="10">
        <f>Dados!A244</f>
        <v>44176.66667</v>
      </c>
      <c r="B242" s="19">
        <f>Dados!B244</f>
        <v>53.35</v>
      </c>
      <c r="C242" s="19">
        <f>Dados!D244</f>
        <v>213.26</v>
      </c>
      <c r="D242" s="19">
        <f>Dados!F244</f>
        <v>203.33</v>
      </c>
      <c r="E242" s="19">
        <f>Dados!H244</f>
        <v>122.41</v>
      </c>
      <c r="F242" s="20">
        <f t="shared" ref="F242:I242" si="240">STANDARDIZE(B242,$L$7,$L$8)</f>
        <v>0.5511343805</v>
      </c>
      <c r="G242" s="20">
        <f t="shared" si="240"/>
        <v>6.132635253</v>
      </c>
      <c r="H242" s="20">
        <f t="shared" si="240"/>
        <v>5.786038394</v>
      </c>
      <c r="I242" s="20">
        <f t="shared" si="240"/>
        <v>2.961605585</v>
      </c>
    </row>
    <row r="243" ht="15.75" customHeight="1">
      <c r="A243" s="10">
        <f>Dados!A245</f>
        <v>44179.66667</v>
      </c>
      <c r="B243" s="19">
        <f>Dados!B245</f>
        <v>53.27</v>
      </c>
      <c r="C243" s="19">
        <f>Dados!D245</f>
        <v>214.2</v>
      </c>
      <c r="D243" s="19">
        <f>Dados!F245</f>
        <v>213.28</v>
      </c>
      <c r="E243" s="19">
        <f>Dados!H245</f>
        <v>121.78</v>
      </c>
      <c r="F243" s="20">
        <f t="shared" ref="F243:I243" si="241">STANDARDIZE(B243,$L$7,$L$8)</f>
        <v>0.5483420593</v>
      </c>
      <c r="G243" s="20">
        <f t="shared" si="241"/>
        <v>6.165445026</v>
      </c>
      <c r="H243" s="20">
        <f t="shared" si="241"/>
        <v>6.133333333</v>
      </c>
      <c r="I243" s="20">
        <f t="shared" si="241"/>
        <v>2.939616056</v>
      </c>
    </row>
    <row r="244" ht="15.75" customHeight="1">
      <c r="A244" s="10">
        <f>Dados!A246</f>
        <v>44180.66667</v>
      </c>
      <c r="B244" s="19">
        <f>Dados!B246</f>
        <v>53.84</v>
      </c>
      <c r="C244" s="19">
        <f>Dados!D246</f>
        <v>214.13</v>
      </c>
      <c r="D244" s="19">
        <f>Dados!F246</f>
        <v>211.08</v>
      </c>
      <c r="E244" s="19">
        <f>Dados!H246</f>
        <v>127.88</v>
      </c>
      <c r="F244" s="20">
        <f t="shared" ref="F244:I244" si="242">STANDARDIZE(B244,$L$7,$L$8)</f>
        <v>0.5682373473</v>
      </c>
      <c r="G244" s="20">
        <f t="shared" si="242"/>
        <v>6.163001745</v>
      </c>
      <c r="H244" s="20">
        <f t="shared" si="242"/>
        <v>6.056544503</v>
      </c>
      <c r="I244" s="20">
        <f t="shared" si="242"/>
        <v>3.152530541</v>
      </c>
    </row>
    <row r="245" ht="15.75" customHeight="1">
      <c r="A245" s="10">
        <f>Dados!A247</f>
        <v>44181.66667</v>
      </c>
      <c r="B245" s="19">
        <f>Dados!B247</f>
        <v>53.06</v>
      </c>
      <c r="C245" s="19">
        <f>Dados!D247</f>
        <v>219.28</v>
      </c>
      <c r="D245" s="19">
        <f>Dados!F247</f>
        <v>207.59</v>
      </c>
      <c r="E245" s="19">
        <f>Dados!H247</f>
        <v>127.81</v>
      </c>
      <c r="F245" s="20">
        <f t="shared" ref="F245:I245" si="243">STANDARDIZE(B245,$L$7,$L$8)</f>
        <v>0.5410122164</v>
      </c>
      <c r="G245" s="20">
        <f t="shared" si="243"/>
        <v>6.342757417</v>
      </c>
      <c r="H245" s="20">
        <f t="shared" si="243"/>
        <v>5.934729494</v>
      </c>
      <c r="I245" s="20">
        <f t="shared" si="243"/>
        <v>3.15008726</v>
      </c>
    </row>
    <row r="246" ht="15.75" customHeight="1">
      <c r="A246" s="10">
        <f>Dados!A248</f>
        <v>44182.66667</v>
      </c>
      <c r="B246" s="19">
        <f>Dados!B248</f>
        <v>53.27</v>
      </c>
      <c r="C246" s="19">
        <f>Dados!D248</f>
        <v>219.42</v>
      </c>
      <c r="D246" s="19">
        <f>Dados!F248</f>
        <v>218.63</v>
      </c>
      <c r="E246" s="19">
        <f>Dados!H248</f>
        <v>128.7</v>
      </c>
      <c r="F246" s="20">
        <f t="shared" ref="F246:I246" si="244">STANDARDIZE(B246,$L$7,$L$8)</f>
        <v>0.5483420593</v>
      </c>
      <c r="G246" s="20">
        <f t="shared" si="244"/>
        <v>6.347643979</v>
      </c>
      <c r="H246" s="20">
        <f t="shared" si="244"/>
        <v>6.320069808</v>
      </c>
      <c r="I246" s="20">
        <f t="shared" si="244"/>
        <v>3.181151832</v>
      </c>
    </row>
    <row r="247" ht="15.75" customHeight="1">
      <c r="A247" s="10">
        <f>Dados!A249</f>
        <v>44183.66667</v>
      </c>
      <c r="B247" s="19">
        <f>Dados!B249</f>
        <v>53.74</v>
      </c>
      <c r="C247" s="19">
        <f>Dados!D249</f>
        <v>218.59</v>
      </c>
      <c r="D247" s="19">
        <f>Dados!F249</f>
        <v>231.67</v>
      </c>
      <c r="E247" s="19">
        <f>Dados!H249</f>
        <v>126.66</v>
      </c>
      <c r="F247" s="20">
        <f t="shared" ref="F247:I247" si="245">STANDARDIZE(B247,$L$7,$L$8)</f>
        <v>0.5647469459</v>
      </c>
      <c r="G247" s="20">
        <f t="shared" si="245"/>
        <v>6.318673647</v>
      </c>
      <c r="H247" s="20">
        <f t="shared" si="245"/>
        <v>6.77521815</v>
      </c>
      <c r="I247" s="20">
        <f t="shared" si="245"/>
        <v>3.109947644</v>
      </c>
    </row>
    <row r="248" ht="15.75" customHeight="1">
      <c r="A248" s="10">
        <f>Dados!A250</f>
        <v>44186.66667</v>
      </c>
      <c r="B248" s="19">
        <f>Dados!B250</f>
        <v>52.81</v>
      </c>
      <c r="C248" s="19">
        <f>Dados!D250</f>
        <v>222.59</v>
      </c>
      <c r="D248" s="19">
        <f>Dados!F250</f>
        <v>216.62</v>
      </c>
      <c r="E248" s="19">
        <f>Dados!H250</f>
        <v>128.23</v>
      </c>
      <c r="F248" s="20">
        <f t="shared" ref="F248:I248" si="246">STANDARDIZE(B248,$L$7,$L$8)</f>
        <v>0.5322862129</v>
      </c>
      <c r="G248" s="20">
        <f t="shared" si="246"/>
        <v>6.458289703</v>
      </c>
      <c r="H248" s="20">
        <f t="shared" si="246"/>
        <v>6.24991274</v>
      </c>
      <c r="I248" s="20">
        <f t="shared" si="246"/>
        <v>3.164746946</v>
      </c>
    </row>
    <row r="249" ht="15.75" customHeight="1">
      <c r="A249" s="10">
        <f>Dados!A251</f>
        <v>44187.66667</v>
      </c>
      <c r="B249" s="19">
        <f>Dados!B251</f>
        <v>52.76</v>
      </c>
      <c r="C249" s="19">
        <f>Dados!D251</f>
        <v>223.94</v>
      </c>
      <c r="D249" s="19">
        <f>Dados!F251</f>
        <v>213.45</v>
      </c>
      <c r="E249" s="19">
        <f>Dados!H251</f>
        <v>131.88</v>
      </c>
      <c r="F249" s="20">
        <f t="shared" ref="F249:I249" si="247">STANDARDIZE(B249,$L$7,$L$8)</f>
        <v>0.5305410122</v>
      </c>
      <c r="G249" s="20">
        <f t="shared" si="247"/>
        <v>6.505410122</v>
      </c>
      <c r="H249" s="20">
        <f t="shared" si="247"/>
        <v>6.139267016</v>
      </c>
      <c r="I249" s="20">
        <f t="shared" si="247"/>
        <v>3.292146597</v>
      </c>
    </row>
    <row r="250" ht="15.75" customHeight="1">
      <c r="A250" s="10">
        <f>Dados!A252</f>
        <v>44188.66667</v>
      </c>
      <c r="B250" s="19">
        <f>Dados!B252</f>
        <v>53.08</v>
      </c>
      <c r="C250" s="19">
        <f>Dados!D252</f>
        <v>221.02</v>
      </c>
      <c r="D250" s="19">
        <f>Dados!F252</f>
        <v>215.33</v>
      </c>
      <c r="E250" s="19">
        <f>Dados!H252</f>
        <v>130.96</v>
      </c>
      <c r="F250" s="20">
        <f t="shared" ref="F250:I250" si="248">STANDARDIZE(B250,$L$7,$L$8)</f>
        <v>0.5417102967</v>
      </c>
      <c r="G250" s="20">
        <f t="shared" si="248"/>
        <v>6.403490401</v>
      </c>
      <c r="H250" s="20">
        <f t="shared" si="248"/>
        <v>6.204886562</v>
      </c>
      <c r="I250" s="20">
        <f t="shared" si="248"/>
        <v>3.260034904</v>
      </c>
    </row>
    <row r="251" ht="15.75" customHeight="1">
      <c r="A251" s="10">
        <f>Dados!A253</f>
        <v>44189.54167</v>
      </c>
      <c r="B251" s="19">
        <f>Dados!B253</f>
        <v>53.44</v>
      </c>
      <c r="C251" s="19">
        <f>Dados!D253</f>
        <v>222.75</v>
      </c>
      <c r="D251" s="19">
        <f>Dados!F253</f>
        <v>220.59</v>
      </c>
      <c r="E251" s="19">
        <f>Dados!H253</f>
        <v>131.97</v>
      </c>
      <c r="F251" s="20">
        <f t="shared" ref="F251:I251" si="249">STANDARDIZE(B251,$L$7,$L$8)</f>
        <v>0.5542757417</v>
      </c>
      <c r="G251" s="20">
        <f t="shared" si="249"/>
        <v>6.463874346</v>
      </c>
      <c r="H251" s="20">
        <f t="shared" si="249"/>
        <v>6.388481675</v>
      </c>
      <c r="I251" s="20">
        <f t="shared" si="249"/>
        <v>3.295287958</v>
      </c>
    </row>
    <row r="252" ht="15.75" customHeight="1">
      <c r="A252" s="10">
        <f>Dados!A254</f>
        <v>44193.66667</v>
      </c>
      <c r="B252" s="19">
        <f>Dados!B254</f>
        <v>54.16</v>
      </c>
      <c r="C252" s="19">
        <f>Dados!D254</f>
        <v>224.96</v>
      </c>
      <c r="D252" s="19">
        <f>Dados!F254</f>
        <v>221.23</v>
      </c>
      <c r="E252" s="19">
        <f>Dados!H254</f>
        <v>136.69</v>
      </c>
      <c r="F252" s="20">
        <f t="shared" ref="F252:I252" si="250">STANDARDIZE(B252,$L$7,$L$8)</f>
        <v>0.5794066318</v>
      </c>
      <c r="G252" s="20">
        <f t="shared" si="250"/>
        <v>6.541012216</v>
      </c>
      <c r="H252" s="20">
        <f t="shared" si="250"/>
        <v>6.410820244</v>
      </c>
      <c r="I252" s="20">
        <f t="shared" si="250"/>
        <v>3.460034904</v>
      </c>
    </row>
    <row r="253" ht="15.75" customHeight="1">
      <c r="A253" s="10">
        <f>Dados!A255</f>
        <v>44194.66667</v>
      </c>
      <c r="B253" s="19">
        <f>Dados!B255</f>
        <v>54.13</v>
      </c>
      <c r="C253" s="19">
        <f>Dados!D255</f>
        <v>224.15</v>
      </c>
      <c r="D253" s="19">
        <f>Dados!F255</f>
        <v>222</v>
      </c>
      <c r="E253" s="19">
        <f>Dados!H255</f>
        <v>134.87</v>
      </c>
      <c r="F253" s="20">
        <f t="shared" ref="F253:I253" si="251">STANDARDIZE(B253,$L$7,$L$8)</f>
        <v>0.5783595113</v>
      </c>
      <c r="G253" s="20">
        <f t="shared" si="251"/>
        <v>6.512739965</v>
      </c>
      <c r="H253" s="20">
        <f t="shared" si="251"/>
        <v>6.437696335</v>
      </c>
      <c r="I253" s="20">
        <f t="shared" si="251"/>
        <v>3.396509599</v>
      </c>
    </row>
    <row r="254" ht="15.75" customHeight="1">
      <c r="A254" s="10">
        <f>Dados!A256</f>
        <v>44195.66667</v>
      </c>
      <c r="B254" s="19">
        <f>Dados!B256</f>
        <v>54.44</v>
      </c>
      <c r="C254" s="19">
        <f>Dados!D256</f>
        <v>221.68</v>
      </c>
      <c r="D254" s="19">
        <f>Dados!F256</f>
        <v>231.59</v>
      </c>
      <c r="E254" s="19">
        <f>Dados!H256</f>
        <v>133.72</v>
      </c>
      <c r="F254" s="20">
        <f t="shared" ref="F254:I254" si="252">STANDARDIZE(B254,$L$7,$L$8)</f>
        <v>0.5891797557</v>
      </c>
      <c r="G254" s="20">
        <f t="shared" si="252"/>
        <v>6.426527051</v>
      </c>
      <c r="H254" s="20">
        <f t="shared" si="252"/>
        <v>6.772425829</v>
      </c>
      <c r="I254" s="20">
        <f t="shared" si="252"/>
        <v>3.356369983</v>
      </c>
    </row>
    <row r="255" ht="15.75" customHeight="1">
      <c r="A255" s="10">
        <f>Dados!A257</f>
        <v>44196.66667</v>
      </c>
      <c r="B255" s="19">
        <f>Dados!B257</f>
        <v>54.84</v>
      </c>
      <c r="C255" s="19">
        <f>Dados!D257</f>
        <v>222.42</v>
      </c>
      <c r="D255" s="19">
        <f>Dados!F257</f>
        <v>235.22</v>
      </c>
      <c r="E255" s="19">
        <f>Dados!H257</f>
        <v>132.69</v>
      </c>
      <c r="F255" s="20">
        <f t="shared" ref="F255:I255" si="253">STANDARDIZE(B255,$L$7,$L$8)</f>
        <v>0.6031413613</v>
      </c>
      <c r="G255" s="20">
        <f t="shared" si="253"/>
        <v>6.452356021</v>
      </c>
      <c r="H255" s="20">
        <f t="shared" si="253"/>
        <v>6.8991274</v>
      </c>
      <c r="I255" s="20">
        <f t="shared" si="253"/>
        <v>3.320418848</v>
      </c>
    </row>
    <row r="256" ht="15.75" customHeight="1">
      <c r="A256" s="10">
        <f>Dados!A258</f>
        <v>44200.66667</v>
      </c>
      <c r="B256" s="19">
        <f>Dados!B258</f>
        <v>52.76</v>
      </c>
      <c r="C256" s="19">
        <f>Dados!D258</f>
        <v>217.69</v>
      </c>
      <c r="D256" s="19">
        <f>Dados!F258</f>
        <v>243.26</v>
      </c>
      <c r="E256" s="19">
        <f>Dados!H258</f>
        <v>129.41</v>
      </c>
      <c r="F256" s="20">
        <f t="shared" ref="F256:I256" si="254">STANDARDIZE(B256,$L$7,$L$8)</f>
        <v>0.5305410122</v>
      </c>
      <c r="G256" s="20">
        <f t="shared" si="254"/>
        <v>6.287260035</v>
      </c>
      <c r="H256" s="20">
        <f t="shared" si="254"/>
        <v>7.179755672</v>
      </c>
      <c r="I256" s="20">
        <f t="shared" si="254"/>
        <v>3.205933682</v>
      </c>
    </row>
    <row r="257" ht="15.75" customHeight="1">
      <c r="A257" s="10">
        <f>Dados!A259</f>
        <v>44201.66667</v>
      </c>
      <c r="B257" s="19">
        <f>Dados!B259</f>
        <v>52.18</v>
      </c>
      <c r="C257" s="19">
        <f>Dados!D259</f>
        <v>217.9</v>
      </c>
      <c r="D257" s="19">
        <f>Dados!F259</f>
        <v>245.04</v>
      </c>
      <c r="E257" s="19">
        <f>Dados!H259</f>
        <v>131.01</v>
      </c>
      <c r="F257" s="20">
        <f t="shared" ref="F257:I257" si="255">STANDARDIZE(B257,$L$7,$L$8)</f>
        <v>0.5102966841</v>
      </c>
      <c r="G257" s="20">
        <f t="shared" si="255"/>
        <v>6.294589878</v>
      </c>
      <c r="H257" s="20">
        <f t="shared" si="255"/>
        <v>7.241884817</v>
      </c>
      <c r="I257" s="20">
        <f t="shared" si="255"/>
        <v>3.261780105</v>
      </c>
    </row>
    <row r="258" ht="15.75" customHeight="1">
      <c r="A258" s="10">
        <f>Dados!A260</f>
        <v>44202.66667</v>
      </c>
      <c r="B258" s="19">
        <f>Dados!B260</f>
        <v>50.52</v>
      </c>
      <c r="C258" s="19">
        <f>Dados!D260</f>
        <v>212.25</v>
      </c>
      <c r="D258" s="19">
        <f>Dados!F260</f>
        <v>251.99</v>
      </c>
      <c r="E258" s="19">
        <f>Dados!H260</f>
        <v>126.6</v>
      </c>
      <c r="F258" s="20">
        <f t="shared" ref="F258:I258" si="256">STANDARDIZE(B258,$L$7,$L$8)</f>
        <v>0.4523560209</v>
      </c>
      <c r="G258" s="20">
        <f t="shared" si="256"/>
        <v>6.097382199</v>
      </c>
      <c r="H258" s="20">
        <f t="shared" si="256"/>
        <v>7.484467714</v>
      </c>
      <c r="I258" s="20">
        <f t="shared" si="256"/>
        <v>3.107853403</v>
      </c>
    </row>
    <row r="259" ht="15.75" customHeight="1">
      <c r="A259" s="10">
        <f>Dados!A261</f>
        <v>44203.66667</v>
      </c>
      <c r="B259" s="19">
        <f>Dados!B261</f>
        <v>49.96</v>
      </c>
      <c r="C259" s="19">
        <f>Dados!D261</f>
        <v>218.29</v>
      </c>
      <c r="D259" s="19">
        <f>Dados!F261</f>
        <v>272.01</v>
      </c>
      <c r="E259" s="19">
        <f>Dados!H261</f>
        <v>130.92</v>
      </c>
      <c r="F259" s="20">
        <f t="shared" ref="F259:I259" si="257">STANDARDIZE(B259,$L$7,$L$8)</f>
        <v>0.4328097731</v>
      </c>
      <c r="G259" s="20">
        <f t="shared" si="257"/>
        <v>6.308202443</v>
      </c>
      <c r="H259" s="20">
        <f t="shared" si="257"/>
        <v>8.183246073</v>
      </c>
      <c r="I259" s="20">
        <f t="shared" si="257"/>
        <v>3.258638743</v>
      </c>
    </row>
    <row r="260" ht="15.75" customHeight="1">
      <c r="A260" s="10">
        <f>Dados!A262</f>
        <v>44204.66667</v>
      </c>
      <c r="B260" s="19">
        <f>Dados!B262</f>
        <v>51.08</v>
      </c>
      <c r="C260" s="19">
        <f>Dados!D262</f>
        <v>219.62</v>
      </c>
      <c r="D260" s="19">
        <f>Dados!F262</f>
        <v>293.34</v>
      </c>
      <c r="E260" s="19">
        <f>Dados!H262</f>
        <v>132.05</v>
      </c>
      <c r="F260" s="20">
        <f t="shared" ref="F260:I260" si="258">STANDARDIZE(B260,$L$7,$L$8)</f>
        <v>0.4719022688</v>
      </c>
      <c r="G260" s="20">
        <f t="shared" si="258"/>
        <v>6.354624782</v>
      </c>
      <c r="H260" s="20">
        <f t="shared" si="258"/>
        <v>8.927748691</v>
      </c>
      <c r="I260" s="20">
        <f t="shared" si="258"/>
        <v>3.298080279</v>
      </c>
    </row>
    <row r="261" ht="15.75" customHeight="1">
      <c r="A261" s="10">
        <f>Dados!A263</f>
        <v>44207.66667</v>
      </c>
      <c r="B261" s="19">
        <f>Dados!B263</f>
        <v>50.2</v>
      </c>
      <c r="C261" s="19">
        <f>Dados!D263</f>
        <v>217.49</v>
      </c>
      <c r="D261" s="19">
        <f>Dados!F263</f>
        <v>270.4</v>
      </c>
      <c r="E261" s="19">
        <f>Dados!H263</f>
        <v>128.98</v>
      </c>
      <c r="F261" s="20">
        <f t="shared" ref="F261:I261" si="259">STANDARDIZE(B261,$L$7,$L$8)</f>
        <v>0.4411867365</v>
      </c>
      <c r="G261" s="20">
        <f t="shared" si="259"/>
        <v>6.280279232</v>
      </c>
      <c r="H261" s="20">
        <f t="shared" si="259"/>
        <v>8.127050611</v>
      </c>
      <c r="I261" s="20">
        <f t="shared" si="259"/>
        <v>3.190924956</v>
      </c>
    </row>
    <row r="262" ht="15.75" customHeight="1">
      <c r="A262" s="10">
        <f>Dados!A264</f>
        <v>44208.66667</v>
      </c>
      <c r="B262" s="19">
        <f>Dados!B264</f>
        <v>50.11</v>
      </c>
      <c r="C262" s="19">
        <f>Dados!D264</f>
        <v>214.93</v>
      </c>
      <c r="D262" s="19">
        <f>Dados!F264</f>
        <v>283.15</v>
      </c>
      <c r="E262" s="19">
        <f>Dados!H264</f>
        <v>128.8</v>
      </c>
      <c r="F262" s="20">
        <f t="shared" ref="F262:I262" si="260">STANDARDIZE(B262,$L$7,$L$8)</f>
        <v>0.4380453752</v>
      </c>
      <c r="G262" s="20">
        <f t="shared" si="260"/>
        <v>6.190924956</v>
      </c>
      <c r="H262" s="20">
        <f t="shared" si="260"/>
        <v>8.572076789</v>
      </c>
      <c r="I262" s="20">
        <f t="shared" si="260"/>
        <v>3.184642234</v>
      </c>
    </row>
    <row r="263" ht="15.75" customHeight="1">
      <c r="A263" s="10">
        <f>Dados!A265</f>
        <v>44209.66667</v>
      </c>
      <c r="B263" s="19">
        <f>Dados!B265</f>
        <v>50.16</v>
      </c>
      <c r="C263" s="19">
        <f>Dados!D265</f>
        <v>216.34</v>
      </c>
      <c r="D263" s="19">
        <f>Dados!F265</f>
        <v>284.8</v>
      </c>
      <c r="E263" s="19">
        <f>Dados!H265</f>
        <v>130.89</v>
      </c>
      <c r="F263" s="20">
        <f t="shared" ref="F263:I263" si="261">STANDARDIZE(B263,$L$7,$L$8)</f>
        <v>0.4397905759</v>
      </c>
      <c r="G263" s="20">
        <f t="shared" si="261"/>
        <v>6.240139616</v>
      </c>
      <c r="H263" s="20">
        <f t="shared" si="261"/>
        <v>8.629668412</v>
      </c>
      <c r="I263" s="20">
        <f t="shared" si="261"/>
        <v>3.257591623</v>
      </c>
    </row>
    <row r="264" ht="15.75" customHeight="1">
      <c r="A264" s="10">
        <f>Dados!A266</f>
        <v>44210.66667</v>
      </c>
      <c r="B264" s="19">
        <f>Dados!B266</f>
        <v>49.23</v>
      </c>
      <c r="C264" s="19">
        <f>Dados!D266</f>
        <v>213.02</v>
      </c>
      <c r="D264" s="19">
        <f>Dados!F266</f>
        <v>281.67</v>
      </c>
      <c r="E264" s="19">
        <f>Dados!H266</f>
        <v>128.91</v>
      </c>
      <c r="F264" s="20">
        <f t="shared" ref="F264:I264" si="262">STANDARDIZE(B264,$L$7,$L$8)</f>
        <v>0.4073298429</v>
      </c>
      <c r="G264" s="20">
        <f t="shared" si="262"/>
        <v>6.12425829</v>
      </c>
      <c r="H264" s="20">
        <f t="shared" si="262"/>
        <v>8.520418848</v>
      </c>
      <c r="I264" s="20">
        <f t="shared" si="262"/>
        <v>3.188481675</v>
      </c>
    </row>
    <row r="265" ht="15.75" customHeight="1">
      <c r="A265" s="10">
        <f>Dados!A267</f>
        <v>44211.66667</v>
      </c>
      <c r="B265" s="19">
        <f>Dados!B267</f>
        <v>48.7</v>
      </c>
      <c r="C265" s="19">
        <f>Dados!D267</f>
        <v>212.65</v>
      </c>
      <c r="D265" s="19">
        <f>Dados!F267</f>
        <v>275.39</v>
      </c>
      <c r="E265" s="19">
        <f>Dados!H267</f>
        <v>127.14</v>
      </c>
      <c r="F265" s="20">
        <f t="shared" ref="F265:I265" si="263">STANDARDIZE(B265,$L$7,$L$8)</f>
        <v>0.3888307155</v>
      </c>
      <c r="G265" s="20">
        <f t="shared" si="263"/>
        <v>6.111343805</v>
      </c>
      <c r="H265" s="20">
        <f t="shared" si="263"/>
        <v>8.30122164</v>
      </c>
      <c r="I265" s="20">
        <f t="shared" si="263"/>
        <v>3.126701571</v>
      </c>
    </row>
    <row r="266" ht="15.75" customHeight="1">
      <c r="A266" s="10">
        <f>Dados!A268</f>
        <v>44215.66667</v>
      </c>
      <c r="B266" s="19">
        <f>Dados!B268</f>
        <v>48.51</v>
      </c>
      <c r="C266" s="19">
        <f>Dados!D268</f>
        <v>216.44</v>
      </c>
      <c r="D266" s="19">
        <f>Dados!F268</f>
        <v>281.52</v>
      </c>
      <c r="E266" s="19">
        <f>Dados!H268</f>
        <v>127.83</v>
      </c>
      <c r="F266" s="20">
        <f t="shared" ref="F266:I266" si="264">STANDARDIZE(B266,$L$7,$L$8)</f>
        <v>0.3821989529</v>
      </c>
      <c r="G266" s="20">
        <f t="shared" si="264"/>
        <v>6.243630017</v>
      </c>
      <c r="H266" s="20">
        <f t="shared" si="264"/>
        <v>8.515183246</v>
      </c>
      <c r="I266" s="20">
        <f t="shared" si="264"/>
        <v>3.15078534</v>
      </c>
    </row>
    <row r="267" ht="15.75" customHeight="1">
      <c r="A267" s="10">
        <f>Dados!A269</f>
        <v>44216.66667</v>
      </c>
      <c r="B267" s="19">
        <f>Dados!B269</f>
        <v>48.68</v>
      </c>
      <c r="C267" s="19">
        <f>Dados!D269</f>
        <v>224.34</v>
      </c>
      <c r="D267" s="19">
        <f>Dados!F269</f>
        <v>283.48</v>
      </c>
      <c r="E267" s="19">
        <f>Dados!H269</f>
        <v>132.03</v>
      </c>
      <c r="F267" s="20">
        <f t="shared" ref="F267:I267" si="265">STANDARDIZE(B267,$L$7,$L$8)</f>
        <v>0.3881326353</v>
      </c>
      <c r="G267" s="20">
        <f t="shared" si="265"/>
        <v>6.519371728</v>
      </c>
      <c r="H267" s="20">
        <f t="shared" si="265"/>
        <v>8.583595113</v>
      </c>
      <c r="I267" s="20">
        <f t="shared" si="265"/>
        <v>3.297382199</v>
      </c>
    </row>
    <row r="268" ht="15.75" customHeight="1">
      <c r="A268" s="10">
        <f>Dados!A270</f>
        <v>44217.66667</v>
      </c>
      <c r="B268" s="19">
        <f>Dados!B270</f>
        <v>48.95</v>
      </c>
      <c r="C268" s="19">
        <f>Dados!D270</f>
        <v>224.97</v>
      </c>
      <c r="D268" s="19">
        <f>Dados!F270</f>
        <v>281.66</v>
      </c>
      <c r="E268" s="19">
        <f>Dados!H270</f>
        <v>136.87</v>
      </c>
      <c r="F268" s="20">
        <f t="shared" ref="F268:I268" si="266">STANDARDIZE(B268,$L$7,$L$8)</f>
        <v>0.397556719</v>
      </c>
      <c r="G268" s="20">
        <f t="shared" si="266"/>
        <v>6.541361257</v>
      </c>
      <c r="H268" s="20">
        <f t="shared" si="266"/>
        <v>8.520069808</v>
      </c>
      <c r="I268" s="20">
        <f t="shared" si="266"/>
        <v>3.466317627</v>
      </c>
    </row>
    <row r="269" ht="15.75" customHeight="1">
      <c r="A269" s="10">
        <f>Dados!A271</f>
        <v>44218.66667</v>
      </c>
      <c r="B269" s="19">
        <f>Dados!B271</f>
        <v>48.49</v>
      </c>
      <c r="C269" s="19">
        <f>Dados!D271</f>
        <v>225.95</v>
      </c>
      <c r="D269" s="19">
        <f>Dados!F271</f>
        <v>282.21</v>
      </c>
      <c r="E269" s="19">
        <f>Dados!H271</f>
        <v>139.07</v>
      </c>
      <c r="F269" s="20">
        <f t="shared" ref="F269:I269" si="267">STANDARDIZE(B269,$L$7,$L$8)</f>
        <v>0.3815008726</v>
      </c>
      <c r="G269" s="20">
        <f t="shared" si="267"/>
        <v>6.57556719</v>
      </c>
      <c r="H269" s="20">
        <f t="shared" si="267"/>
        <v>8.539267016</v>
      </c>
      <c r="I269" s="20">
        <f t="shared" si="267"/>
        <v>3.543106457</v>
      </c>
    </row>
    <row r="270" ht="15.75" customHeight="1">
      <c r="A270" s="10">
        <f>Dados!A272</f>
        <v>44221.66667</v>
      </c>
      <c r="B270" s="19">
        <f>Dados!B272</f>
        <v>48.78</v>
      </c>
      <c r="C270" s="19">
        <f>Dados!D272</f>
        <v>229.53</v>
      </c>
      <c r="D270" s="19">
        <f>Dados!F272</f>
        <v>293.6</v>
      </c>
      <c r="E270" s="19">
        <f>Dados!H272</f>
        <v>142.92</v>
      </c>
      <c r="F270" s="20">
        <f t="shared" ref="F270:I270" si="268">STANDARDIZE(B270,$L$7,$L$8)</f>
        <v>0.3916230366</v>
      </c>
      <c r="G270" s="20">
        <f t="shared" si="268"/>
        <v>6.70052356</v>
      </c>
      <c r="H270" s="20">
        <f t="shared" si="268"/>
        <v>8.936823735</v>
      </c>
      <c r="I270" s="20">
        <f t="shared" si="268"/>
        <v>3.677486911</v>
      </c>
    </row>
    <row r="271" ht="15.75" customHeight="1">
      <c r="A271" s="10">
        <f>Dados!A273</f>
        <v>44222.66667</v>
      </c>
      <c r="B271" s="19">
        <f>Dados!B273</f>
        <v>49.29</v>
      </c>
      <c r="C271" s="19">
        <f>Dados!D273</f>
        <v>232.33</v>
      </c>
      <c r="D271" s="19">
        <f>Dados!F273</f>
        <v>294.36</v>
      </c>
      <c r="E271" s="19">
        <f>Dados!H273</f>
        <v>143.16</v>
      </c>
      <c r="F271" s="20">
        <f t="shared" ref="F271:I271" si="269">STANDARDIZE(B271,$L$7,$L$8)</f>
        <v>0.4094240838</v>
      </c>
      <c r="G271" s="20">
        <f t="shared" si="269"/>
        <v>6.798254799</v>
      </c>
      <c r="H271" s="20">
        <f t="shared" si="269"/>
        <v>8.963350785</v>
      </c>
      <c r="I271" s="20">
        <f t="shared" si="269"/>
        <v>3.685863874</v>
      </c>
    </row>
    <row r="272" ht="15.75" customHeight="1">
      <c r="A272" s="10">
        <f>Dados!A274</f>
        <v>44223.66667</v>
      </c>
      <c r="B272" s="19">
        <f>Dados!B274</f>
        <v>48.53</v>
      </c>
      <c r="C272" s="19">
        <f>Dados!D274</f>
        <v>232.9</v>
      </c>
      <c r="D272" s="19">
        <f>Dados!F274</f>
        <v>288.05</v>
      </c>
      <c r="E272" s="19">
        <f>Dados!H274</f>
        <v>142.06</v>
      </c>
      <c r="F272" s="20">
        <f t="shared" ref="F272:I272" si="270">STANDARDIZE(B272,$L$7,$L$8)</f>
        <v>0.3828970332</v>
      </c>
      <c r="G272" s="20">
        <f t="shared" si="270"/>
        <v>6.818150087</v>
      </c>
      <c r="H272" s="20">
        <f t="shared" si="270"/>
        <v>8.743106457</v>
      </c>
      <c r="I272" s="20">
        <f t="shared" si="270"/>
        <v>3.647469459</v>
      </c>
    </row>
    <row r="273" ht="15.75" customHeight="1">
      <c r="A273" s="10">
        <f>Dados!A275</f>
        <v>44224.66667</v>
      </c>
      <c r="B273" s="19">
        <f>Dados!B275</f>
        <v>49.15</v>
      </c>
      <c r="C273" s="19">
        <f>Dados!D275</f>
        <v>238.93</v>
      </c>
      <c r="D273" s="19">
        <f>Dados!F275</f>
        <v>278.48</v>
      </c>
      <c r="E273" s="19">
        <f>Dados!H275</f>
        <v>137.09</v>
      </c>
      <c r="F273" s="20">
        <f t="shared" ref="F273:I273" si="271">STANDARDIZE(B273,$L$7,$L$8)</f>
        <v>0.4045375218</v>
      </c>
      <c r="G273" s="20">
        <f t="shared" si="271"/>
        <v>7.028621291</v>
      </c>
      <c r="H273" s="20">
        <f t="shared" si="271"/>
        <v>8.409075044</v>
      </c>
      <c r="I273" s="20">
        <f t="shared" si="271"/>
        <v>3.47399651</v>
      </c>
    </row>
    <row r="274" ht="15.75" customHeight="1">
      <c r="A274" s="10">
        <f>Dados!A276</f>
        <v>44225.66667</v>
      </c>
      <c r="B274" s="19">
        <f>Dados!B276</f>
        <v>48.15</v>
      </c>
      <c r="C274" s="19">
        <f>Dados!D276</f>
        <v>231.96</v>
      </c>
      <c r="D274" s="19">
        <f>Dados!F276</f>
        <v>264.51</v>
      </c>
      <c r="E274" s="19">
        <f>Dados!H276</f>
        <v>131.96</v>
      </c>
      <c r="F274" s="20">
        <f t="shared" ref="F274:I274" si="272">STANDARDIZE(B274,$L$7,$L$8)</f>
        <v>0.3696335079</v>
      </c>
      <c r="G274" s="20">
        <f t="shared" si="272"/>
        <v>6.785340314</v>
      </c>
      <c r="H274" s="20">
        <f t="shared" si="272"/>
        <v>7.921465969</v>
      </c>
      <c r="I274" s="20">
        <f t="shared" si="272"/>
        <v>3.294938918</v>
      </c>
    </row>
    <row r="275" ht="15.75" customHeight="1">
      <c r="A275" s="10">
        <f>Dados!A277</f>
        <v>44228.66667</v>
      </c>
      <c r="B275" s="19">
        <f>Dados!B277</f>
        <v>48.48</v>
      </c>
      <c r="C275" s="19">
        <f>Dados!D277</f>
        <v>239.65</v>
      </c>
      <c r="D275" s="19">
        <f>Dados!F277</f>
        <v>279.94</v>
      </c>
      <c r="E275" s="19">
        <f>Dados!H277</f>
        <v>134.14</v>
      </c>
      <c r="F275" s="20">
        <f t="shared" ref="F275:I275" si="273">STANDARDIZE(B275,$L$7,$L$8)</f>
        <v>0.3811518325</v>
      </c>
      <c r="G275" s="20">
        <f t="shared" si="273"/>
        <v>7.053752182</v>
      </c>
      <c r="H275" s="20">
        <f t="shared" si="273"/>
        <v>8.460034904</v>
      </c>
      <c r="I275" s="20">
        <f t="shared" si="273"/>
        <v>3.371029668</v>
      </c>
    </row>
    <row r="276" ht="15.75" customHeight="1">
      <c r="A276" s="10">
        <f>Dados!A278</f>
        <v>44229.66667</v>
      </c>
      <c r="B276" s="19">
        <f>Dados!B278</f>
        <v>48.96</v>
      </c>
      <c r="C276" s="19">
        <f>Dados!D278</f>
        <v>239.51</v>
      </c>
      <c r="D276" s="19">
        <f>Dados!F278</f>
        <v>290.93</v>
      </c>
      <c r="E276" s="19">
        <f>Dados!H278</f>
        <v>134.99</v>
      </c>
      <c r="F276" s="20">
        <f t="shared" ref="F276:I276" si="274">STANDARDIZE(B276,$L$7,$L$8)</f>
        <v>0.3979057592</v>
      </c>
      <c r="G276" s="20">
        <f t="shared" si="274"/>
        <v>7.04886562</v>
      </c>
      <c r="H276" s="20">
        <f t="shared" si="274"/>
        <v>8.843630017</v>
      </c>
      <c r="I276" s="20">
        <f t="shared" si="274"/>
        <v>3.40069808</v>
      </c>
    </row>
    <row r="277" ht="15.75" customHeight="1">
      <c r="A277" s="10">
        <f>Dados!A279</f>
        <v>44230.66667</v>
      </c>
      <c r="B277" s="19">
        <f>Dados!B279</f>
        <v>48.77</v>
      </c>
      <c r="C277" s="19">
        <f>Dados!D279</f>
        <v>243</v>
      </c>
      <c r="D277" s="19">
        <f>Dados!F279</f>
        <v>284.9</v>
      </c>
      <c r="E277" s="19">
        <f>Dados!H279</f>
        <v>133.94</v>
      </c>
      <c r="F277" s="20">
        <f t="shared" ref="F277:I277" si="275">STANDARDIZE(B277,$L$7,$L$8)</f>
        <v>0.3912739965</v>
      </c>
      <c r="G277" s="20">
        <f t="shared" si="275"/>
        <v>7.170680628</v>
      </c>
      <c r="H277" s="20">
        <f t="shared" si="275"/>
        <v>8.633158813</v>
      </c>
      <c r="I277" s="20">
        <f t="shared" si="275"/>
        <v>3.364048866</v>
      </c>
    </row>
    <row r="278" ht="15.75" customHeight="1">
      <c r="A278" s="10">
        <f>Dados!A280</f>
        <v>44231.66667</v>
      </c>
      <c r="B278" s="19">
        <f>Dados!B280</f>
        <v>49.01</v>
      </c>
      <c r="C278" s="19">
        <f>Dados!D280</f>
        <v>242.01</v>
      </c>
      <c r="D278" s="19">
        <f>Dados!F280</f>
        <v>283.33</v>
      </c>
      <c r="E278" s="19">
        <f>Dados!H280</f>
        <v>137.39</v>
      </c>
      <c r="F278" s="20">
        <f t="shared" ref="F278:I278" si="276">STANDARDIZE(B278,$L$7,$L$8)</f>
        <v>0.3996509599</v>
      </c>
      <c r="G278" s="20">
        <f t="shared" si="276"/>
        <v>7.136125654</v>
      </c>
      <c r="H278" s="20">
        <f t="shared" si="276"/>
        <v>8.578359511</v>
      </c>
      <c r="I278" s="20">
        <f t="shared" si="276"/>
        <v>3.484467714</v>
      </c>
    </row>
    <row r="279" ht="15.75" customHeight="1">
      <c r="A279" s="10">
        <f>Dados!A281</f>
        <v>44232.66667</v>
      </c>
      <c r="B279" s="19">
        <f>Dados!B281</f>
        <v>49.65</v>
      </c>
      <c r="C279" s="19">
        <f>Dados!D281</f>
        <v>242.2</v>
      </c>
      <c r="D279" s="19">
        <f>Dados!F281</f>
        <v>284.08</v>
      </c>
      <c r="E279" s="19">
        <f>Dados!H281</f>
        <v>136.76</v>
      </c>
      <c r="F279" s="20">
        <f t="shared" ref="F279:I279" si="277">STANDARDIZE(B279,$L$7,$L$8)</f>
        <v>0.4219895288</v>
      </c>
      <c r="G279" s="20">
        <f t="shared" si="277"/>
        <v>7.142757417</v>
      </c>
      <c r="H279" s="20">
        <f t="shared" si="277"/>
        <v>8.604537522</v>
      </c>
      <c r="I279" s="20">
        <f t="shared" si="277"/>
        <v>3.462478185</v>
      </c>
    </row>
    <row r="280" ht="15.75" customHeight="1">
      <c r="A280" s="10">
        <f>Dados!A282</f>
        <v>44235.66667</v>
      </c>
      <c r="B280" s="19">
        <f>Dados!B282</f>
        <v>49.92</v>
      </c>
      <c r="C280" s="19">
        <f>Dados!D282</f>
        <v>242.47</v>
      </c>
      <c r="D280" s="19">
        <f>Dados!F282</f>
        <v>287.81</v>
      </c>
      <c r="E280" s="19">
        <f>Dados!H282</f>
        <v>136.91</v>
      </c>
      <c r="F280" s="20">
        <f t="shared" ref="F280:I280" si="278">STANDARDIZE(B280,$L$7,$L$8)</f>
        <v>0.4314136126</v>
      </c>
      <c r="G280" s="20">
        <f t="shared" si="278"/>
        <v>7.152181501</v>
      </c>
      <c r="H280" s="20">
        <f t="shared" si="278"/>
        <v>8.734729494</v>
      </c>
      <c r="I280" s="20">
        <f t="shared" si="278"/>
        <v>3.467713787</v>
      </c>
    </row>
    <row r="281" ht="15.75" customHeight="1">
      <c r="A281" s="10">
        <f>Dados!A283</f>
        <v>44236.66667</v>
      </c>
      <c r="B281" s="19">
        <f>Dados!B283</f>
        <v>49.7</v>
      </c>
      <c r="C281" s="19">
        <f>Dados!D283</f>
        <v>243.77</v>
      </c>
      <c r="D281" s="19">
        <f>Dados!F283</f>
        <v>283.15</v>
      </c>
      <c r="E281" s="19">
        <f>Dados!H283</f>
        <v>136.01</v>
      </c>
      <c r="F281" s="20">
        <f t="shared" ref="F281:I281" si="279">STANDARDIZE(B281,$L$7,$L$8)</f>
        <v>0.4237347295</v>
      </c>
      <c r="G281" s="20">
        <f t="shared" si="279"/>
        <v>7.197556719</v>
      </c>
      <c r="H281" s="20">
        <f t="shared" si="279"/>
        <v>8.572076789</v>
      </c>
      <c r="I281" s="20">
        <f t="shared" si="279"/>
        <v>3.436300175</v>
      </c>
    </row>
    <row r="282" ht="15.75" customHeight="1">
      <c r="A282" s="10">
        <f>Dados!A284</f>
        <v>44237.66667</v>
      </c>
      <c r="B282" s="19">
        <f>Dados!B284</f>
        <v>49.6</v>
      </c>
      <c r="C282" s="19">
        <f>Dados!D284</f>
        <v>242.82</v>
      </c>
      <c r="D282" s="19">
        <f>Dados!F284</f>
        <v>268.27</v>
      </c>
      <c r="E282" s="19">
        <f>Dados!H284</f>
        <v>135.39</v>
      </c>
      <c r="F282" s="20">
        <f t="shared" ref="F282:I282" si="280">STANDARDIZE(B282,$L$7,$L$8)</f>
        <v>0.4202443281</v>
      </c>
      <c r="G282" s="20">
        <f t="shared" si="280"/>
        <v>7.164397906</v>
      </c>
      <c r="H282" s="20">
        <f t="shared" si="280"/>
        <v>8.052705061</v>
      </c>
      <c r="I282" s="20">
        <f t="shared" si="280"/>
        <v>3.414659686</v>
      </c>
    </row>
    <row r="283" ht="15.75" customHeight="1">
      <c r="A283" s="10">
        <f>Dados!A285</f>
        <v>44238.66667</v>
      </c>
      <c r="B283" s="19">
        <f>Dados!B285</f>
        <v>50.3</v>
      </c>
      <c r="C283" s="19">
        <f>Dados!D285</f>
        <v>244.49</v>
      </c>
      <c r="D283" s="19">
        <f>Dados!F285</f>
        <v>270.55</v>
      </c>
      <c r="E283" s="19">
        <f>Dados!H285</f>
        <v>135.13</v>
      </c>
      <c r="F283" s="20">
        <f t="shared" ref="F283:I283" si="281">STANDARDIZE(B283,$L$7,$L$8)</f>
        <v>0.4446771379</v>
      </c>
      <c r="G283" s="20">
        <f t="shared" si="281"/>
        <v>7.222687609</v>
      </c>
      <c r="H283" s="20">
        <f t="shared" si="281"/>
        <v>8.132286213</v>
      </c>
      <c r="I283" s="20">
        <f t="shared" si="281"/>
        <v>3.405584642</v>
      </c>
    </row>
    <row r="284" ht="15.75" customHeight="1">
      <c r="A284" s="10">
        <f>Dados!A286</f>
        <v>44239.66667</v>
      </c>
      <c r="B284" s="19">
        <f>Dados!B286</f>
        <v>50.69</v>
      </c>
      <c r="C284" s="19">
        <f>Dados!D286</f>
        <v>244.99</v>
      </c>
      <c r="D284" s="19">
        <f>Dados!F286</f>
        <v>272.04</v>
      </c>
      <c r="E284" s="19">
        <f>Dados!H286</f>
        <v>135.37</v>
      </c>
      <c r="F284" s="20">
        <f t="shared" ref="F284:I284" si="282">STANDARDIZE(B284,$L$7,$L$8)</f>
        <v>0.4582897033</v>
      </c>
      <c r="G284" s="20">
        <f t="shared" si="282"/>
        <v>7.240139616</v>
      </c>
      <c r="H284" s="20">
        <f t="shared" si="282"/>
        <v>8.184293194</v>
      </c>
      <c r="I284" s="20">
        <f t="shared" si="282"/>
        <v>3.413961606</v>
      </c>
    </row>
    <row r="285" ht="15.75" customHeight="1">
      <c r="A285" s="10">
        <f>Dados!A287</f>
        <v>44243.66667</v>
      </c>
      <c r="B285" s="19">
        <f>Dados!B287</f>
        <v>50.27</v>
      </c>
      <c r="C285" s="19">
        <f>Dados!D287</f>
        <v>243.7</v>
      </c>
      <c r="D285" s="19">
        <f>Dados!F287</f>
        <v>265.41</v>
      </c>
      <c r="E285" s="19">
        <f>Dados!H287</f>
        <v>133.19</v>
      </c>
      <c r="F285" s="20">
        <f t="shared" ref="F285:I285" si="283">STANDARDIZE(B285,$L$7,$L$8)</f>
        <v>0.4436300175</v>
      </c>
      <c r="G285" s="20">
        <f t="shared" si="283"/>
        <v>7.195113438</v>
      </c>
      <c r="H285" s="20">
        <f t="shared" si="283"/>
        <v>7.952879581</v>
      </c>
      <c r="I285" s="20">
        <f t="shared" si="283"/>
        <v>3.337870855</v>
      </c>
    </row>
    <row r="286" ht="15.75" customHeight="1">
      <c r="A286" s="10">
        <f>Dados!A288</f>
        <v>44244.66667</v>
      </c>
      <c r="B286" s="19">
        <f>Dados!B288</f>
        <v>50.13</v>
      </c>
      <c r="C286" s="19">
        <f>Dados!D288</f>
        <v>244.2</v>
      </c>
      <c r="D286" s="19">
        <f>Dados!F288</f>
        <v>266.05</v>
      </c>
      <c r="E286" s="19">
        <f>Dados!H288</f>
        <v>130.84</v>
      </c>
      <c r="F286" s="20">
        <f t="shared" ref="F286:I286" si="284">STANDARDIZE(B286,$L$7,$L$8)</f>
        <v>0.4387434555</v>
      </c>
      <c r="G286" s="20">
        <f t="shared" si="284"/>
        <v>7.212565445</v>
      </c>
      <c r="H286" s="20">
        <f t="shared" si="284"/>
        <v>7.97521815</v>
      </c>
      <c r="I286" s="20">
        <f t="shared" si="284"/>
        <v>3.255846422</v>
      </c>
    </row>
    <row r="287" ht="15.75" customHeight="1">
      <c r="A287" s="10">
        <f>Dados!A289</f>
        <v>44245.66667</v>
      </c>
      <c r="B287" s="19">
        <f>Dados!B289</f>
        <v>50.77</v>
      </c>
      <c r="C287" s="19">
        <f>Dados!D289</f>
        <v>243.79</v>
      </c>
      <c r="D287" s="19">
        <f>Dados!F289</f>
        <v>262.46</v>
      </c>
      <c r="E287" s="19">
        <f>Dados!H289</f>
        <v>129.71</v>
      </c>
      <c r="F287" s="20">
        <f t="shared" ref="F287:I287" si="285">STANDARDIZE(B287,$L$7,$L$8)</f>
        <v>0.4610820244</v>
      </c>
      <c r="G287" s="20">
        <f t="shared" si="285"/>
        <v>7.198254799</v>
      </c>
      <c r="H287" s="20">
        <f t="shared" si="285"/>
        <v>7.84991274</v>
      </c>
      <c r="I287" s="20">
        <f t="shared" si="285"/>
        <v>3.216404887</v>
      </c>
    </row>
    <row r="288" ht="15.75" customHeight="1">
      <c r="A288" s="10">
        <f>Dados!A290</f>
        <v>44246.66667</v>
      </c>
      <c r="B288" s="19">
        <f>Dados!B290</f>
        <v>50.11</v>
      </c>
      <c r="C288" s="19">
        <f>Dados!D290</f>
        <v>240.97</v>
      </c>
      <c r="D288" s="19">
        <f>Dados!F290</f>
        <v>260.43</v>
      </c>
      <c r="E288" s="19">
        <f>Dados!H290</f>
        <v>129.87</v>
      </c>
      <c r="F288" s="20">
        <f t="shared" ref="F288:I288" si="286">STANDARDIZE(B288,$L$7,$L$8)</f>
        <v>0.4380453752</v>
      </c>
      <c r="G288" s="20">
        <f t="shared" si="286"/>
        <v>7.09982548</v>
      </c>
      <c r="H288" s="20">
        <f t="shared" si="286"/>
        <v>7.779057592</v>
      </c>
      <c r="I288" s="20">
        <f t="shared" si="286"/>
        <v>3.221989529</v>
      </c>
    </row>
    <row r="289" ht="15.75" customHeight="1">
      <c r="A289" s="10">
        <f>Dados!A291</f>
        <v>44249.66667</v>
      </c>
      <c r="B289" s="19">
        <f>Dados!B291</f>
        <v>50.63</v>
      </c>
      <c r="C289" s="19">
        <f>Dados!D291</f>
        <v>234.51</v>
      </c>
      <c r="D289" s="19">
        <f>Dados!F291</f>
        <v>238.17</v>
      </c>
      <c r="E289" s="19">
        <f>Dados!H291</f>
        <v>126</v>
      </c>
      <c r="F289" s="20">
        <f t="shared" ref="F289:I289" si="287">STANDARDIZE(B289,$L$7,$L$8)</f>
        <v>0.4561954625</v>
      </c>
      <c r="G289" s="20">
        <f t="shared" si="287"/>
        <v>6.87434555</v>
      </c>
      <c r="H289" s="20">
        <f t="shared" si="287"/>
        <v>7.002094241</v>
      </c>
      <c r="I289" s="20">
        <f t="shared" si="287"/>
        <v>3.086910995</v>
      </c>
    </row>
    <row r="290" ht="15.75" customHeight="1">
      <c r="A290" s="10">
        <f>Dados!A292</f>
        <v>44250.66667</v>
      </c>
      <c r="B290" s="19">
        <f>Dados!B292</f>
        <v>50.54</v>
      </c>
      <c r="C290" s="19">
        <f>Dados!D292</f>
        <v>233.27</v>
      </c>
      <c r="D290" s="19">
        <f>Dados!F292</f>
        <v>232.95</v>
      </c>
      <c r="E290" s="19">
        <f>Dados!H292</f>
        <v>125.86</v>
      </c>
      <c r="F290" s="20">
        <f t="shared" ref="F290:I290" si="288">STANDARDIZE(B290,$L$7,$L$8)</f>
        <v>0.4530541012</v>
      </c>
      <c r="G290" s="20">
        <f t="shared" si="288"/>
        <v>6.831064572</v>
      </c>
      <c r="H290" s="20">
        <f t="shared" si="288"/>
        <v>6.819895288</v>
      </c>
      <c r="I290" s="20">
        <f t="shared" si="288"/>
        <v>3.082024433</v>
      </c>
    </row>
    <row r="291" ht="15.75" customHeight="1">
      <c r="A291" s="10">
        <f>Dados!A293</f>
        <v>44251.66667</v>
      </c>
      <c r="B291" s="19">
        <f>Dados!B293</f>
        <v>50.71</v>
      </c>
      <c r="C291" s="19">
        <f>Dados!D293</f>
        <v>234.55</v>
      </c>
      <c r="D291" s="19">
        <f>Dados!F293</f>
        <v>247.34</v>
      </c>
      <c r="E291" s="19">
        <f>Dados!H293</f>
        <v>125.35</v>
      </c>
      <c r="F291" s="20">
        <f t="shared" ref="F291:I291" si="289">STANDARDIZE(B291,$L$7,$L$8)</f>
        <v>0.4589877836</v>
      </c>
      <c r="G291" s="20">
        <f t="shared" si="289"/>
        <v>6.87574171</v>
      </c>
      <c r="H291" s="20">
        <f t="shared" si="289"/>
        <v>7.322164049</v>
      </c>
      <c r="I291" s="20">
        <f t="shared" si="289"/>
        <v>3.064223386</v>
      </c>
    </row>
    <row r="292" ht="15.75" customHeight="1">
      <c r="A292" s="10">
        <f>Dados!A294</f>
        <v>44252.66667</v>
      </c>
      <c r="B292" s="19">
        <f>Dados!B294</f>
        <v>50.17</v>
      </c>
      <c r="C292" s="19">
        <f>Dados!D294</f>
        <v>228.99</v>
      </c>
      <c r="D292" s="19">
        <f>Dados!F294</f>
        <v>227.41</v>
      </c>
      <c r="E292" s="19">
        <f>Dados!H294</f>
        <v>120.99</v>
      </c>
      <c r="F292" s="20">
        <f t="shared" ref="F292:I292" si="290">STANDARDIZE(B292,$L$7,$L$8)</f>
        <v>0.4401396161</v>
      </c>
      <c r="G292" s="20">
        <f t="shared" si="290"/>
        <v>6.681675393</v>
      </c>
      <c r="H292" s="20">
        <f t="shared" si="290"/>
        <v>6.626527051</v>
      </c>
      <c r="I292" s="20">
        <f t="shared" si="290"/>
        <v>2.912041885</v>
      </c>
    </row>
    <row r="293" ht="15.75" customHeight="1">
      <c r="A293" s="10">
        <f>Dados!A295</f>
        <v>44253.66667</v>
      </c>
      <c r="B293" s="19">
        <f>Dados!B295</f>
        <v>48.99</v>
      </c>
      <c r="C293" s="19">
        <f>Dados!D295</f>
        <v>232.38</v>
      </c>
      <c r="D293" s="19">
        <f>Dados!F295</f>
        <v>225.17</v>
      </c>
      <c r="E293" s="19">
        <f>Dados!H295</f>
        <v>121.26</v>
      </c>
      <c r="F293" s="20">
        <f t="shared" ref="F293:I293" si="291">STANDARDIZE(B293,$L$7,$L$8)</f>
        <v>0.3989528796</v>
      </c>
      <c r="G293" s="20">
        <f t="shared" si="291"/>
        <v>6.8</v>
      </c>
      <c r="H293" s="20">
        <f t="shared" si="291"/>
        <v>6.548342059</v>
      </c>
      <c r="I293" s="20">
        <f t="shared" si="291"/>
        <v>2.921465969</v>
      </c>
    </row>
    <row r="294" ht="15.75" customHeight="1">
      <c r="A294" s="10">
        <f>Dados!A296</f>
        <v>44256.66667</v>
      </c>
      <c r="B294" s="19">
        <f>Dados!B296</f>
        <v>49.9</v>
      </c>
      <c r="C294" s="19">
        <f>Dados!D296</f>
        <v>236.94</v>
      </c>
      <c r="D294" s="19">
        <f>Dados!F296</f>
        <v>239.48</v>
      </c>
      <c r="E294" s="19">
        <f>Dados!H296</f>
        <v>127.79</v>
      </c>
      <c r="F294" s="20">
        <f t="shared" ref="F294:I294" si="292">STANDARDIZE(B294,$L$7,$L$8)</f>
        <v>0.4307155323</v>
      </c>
      <c r="G294" s="20">
        <f t="shared" si="292"/>
        <v>6.959162304</v>
      </c>
      <c r="H294" s="20">
        <f t="shared" si="292"/>
        <v>7.047818499</v>
      </c>
      <c r="I294" s="20">
        <f t="shared" si="292"/>
        <v>3.14938918</v>
      </c>
    </row>
    <row r="295" ht="15.75" customHeight="1">
      <c r="A295" s="10">
        <f>Dados!A297</f>
        <v>44257.66667</v>
      </c>
      <c r="B295" s="19">
        <f>Dados!B297</f>
        <v>50.1</v>
      </c>
      <c r="C295" s="19">
        <f>Dados!D297</f>
        <v>233.87</v>
      </c>
      <c r="D295" s="19">
        <f>Dados!F297</f>
        <v>228.81</v>
      </c>
      <c r="E295" s="19">
        <f>Dados!H297</f>
        <v>125.12</v>
      </c>
      <c r="F295" s="20">
        <f t="shared" ref="F295:I295" si="293">STANDARDIZE(B295,$L$7,$L$8)</f>
        <v>0.4376963351</v>
      </c>
      <c r="G295" s="20">
        <f t="shared" si="293"/>
        <v>6.852006981</v>
      </c>
      <c r="H295" s="20">
        <f t="shared" si="293"/>
        <v>6.67539267</v>
      </c>
      <c r="I295" s="20">
        <f t="shared" si="293"/>
        <v>3.056195462</v>
      </c>
    </row>
    <row r="296" ht="15.75" customHeight="1">
      <c r="A296" s="10">
        <f>Dados!A298</f>
        <v>44258.66667</v>
      </c>
      <c r="B296" s="19">
        <f>Dados!B298</f>
        <v>49.98</v>
      </c>
      <c r="C296" s="19">
        <f>Dados!D298</f>
        <v>227.56</v>
      </c>
      <c r="D296" s="19">
        <f>Dados!F298</f>
        <v>217.73</v>
      </c>
      <c r="E296" s="19">
        <f>Dados!H298</f>
        <v>122.06</v>
      </c>
      <c r="F296" s="20">
        <f t="shared" ref="F296:I296" si="294">STANDARDIZE(B296,$L$7,$L$8)</f>
        <v>0.4335078534</v>
      </c>
      <c r="G296" s="20">
        <f t="shared" si="294"/>
        <v>6.631762653</v>
      </c>
      <c r="H296" s="20">
        <f t="shared" si="294"/>
        <v>6.288656195</v>
      </c>
      <c r="I296" s="20">
        <f t="shared" si="294"/>
        <v>2.94938918</v>
      </c>
    </row>
    <row r="297" ht="15.75" customHeight="1">
      <c r="A297" s="10">
        <f>Dados!A299</f>
        <v>44259.66667</v>
      </c>
      <c r="B297" s="19">
        <f>Dados!B299</f>
        <v>49.94</v>
      </c>
      <c r="C297" s="19">
        <f>Dados!D299</f>
        <v>226.73</v>
      </c>
      <c r="D297" s="19">
        <f>Dados!F299</f>
        <v>207.15</v>
      </c>
      <c r="E297" s="19">
        <f>Dados!H299</f>
        <v>120.13</v>
      </c>
      <c r="F297" s="20">
        <f t="shared" ref="F297:I297" si="295">STANDARDIZE(B297,$L$7,$L$8)</f>
        <v>0.4321116928</v>
      </c>
      <c r="G297" s="20">
        <f t="shared" si="295"/>
        <v>6.602792321</v>
      </c>
      <c r="H297" s="20">
        <f t="shared" si="295"/>
        <v>5.919371728</v>
      </c>
      <c r="I297" s="20">
        <f t="shared" si="295"/>
        <v>2.882024433</v>
      </c>
    </row>
    <row r="298" ht="15.75" customHeight="1">
      <c r="A298" s="10">
        <f>Dados!A300</f>
        <v>44260.66667</v>
      </c>
      <c r="B298" s="19">
        <f>Dados!B300</f>
        <v>50.79</v>
      </c>
      <c r="C298" s="19">
        <f>Dados!D300</f>
        <v>231.6</v>
      </c>
      <c r="D298" s="19">
        <f>Dados!F300</f>
        <v>199.32</v>
      </c>
      <c r="E298" s="19">
        <f>Dados!H300</f>
        <v>121.42</v>
      </c>
      <c r="F298" s="20">
        <f t="shared" ref="F298:I298" si="296">STANDARDIZE(B298,$L$7,$L$8)</f>
        <v>0.4617801047</v>
      </c>
      <c r="G298" s="20">
        <f t="shared" si="296"/>
        <v>6.772774869</v>
      </c>
      <c r="H298" s="20">
        <f t="shared" si="296"/>
        <v>5.646073298</v>
      </c>
      <c r="I298" s="20">
        <f t="shared" si="296"/>
        <v>2.927050611</v>
      </c>
    </row>
    <row r="299" ht="15.75" customHeight="1">
      <c r="A299" s="10">
        <f>Dados!A301</f>
        <v>44263.66667</v>
      </c>
      <c r="B299" s="19">
        <f>Dados!B301</f>
        <v>51.64</v>
      </c>
      <c r="C299" s="19">
        <f>Dados!D301</f>
        <v>227.39</v>
      </c>
      <c r="D299" s="19">
        <f>Dados!F301</f>
        <v>187.67</v>
      </c>
      <c r="E299" s="19">
        <f>Dados!H301</f>
        <v>116.36</v>
      </c>
      <c r="F299" s="20">
        <f t="shared" ref="F299:I299" si="297">STANDARDIZE(B299,$L$7,$L$8)</f>
        <v>0.4914485166</v>
      </c>
      <c r="G299" s="20">
        <f t="shared" si="297"/>
        <v>6.62582897</v>
      </c>
      <c r="H299" s="20">
        <f t="shared" si="297"/>
        <v>5.239441536</v>
      </c>
      <c r="I299" s="20">
        <f t="shared" si="297"/>
        <v>2.7504363</v>
      </c>
    </row>
    <row r="300" ht="15.75" customHeight="1">
      <c r="A300" s="10">
        <f>Dados!A302</f>
        <v>44264.66667</v>
      </c>
      <c r="B300" s="19">
        <f>Dados!B302</f>
        <v>50.86</v>
      </c>
      <c r="C300" s="19">
        <f>Dados!D302</f>
        <v>233.78</v>
      </c>
      <c r="D300" s="19">
        <f>Dados!F302</f>
        <v>224.53</v>
      </c>
      <c r="E300" s="19">
        <f>Dados!H302</f>
        <v>121.09</v>
      </c>
      <c r="F300" s="20">
        <f t="shared" ref="F300:I300" si="298">STANDARDIZE(B300,$L$7,$L$8)</f>
        <v>0.4642233857</v>
      </c>
      <c r="G300" s="20">
        <f t="shared" si="298"/>
        <v>6.84886562</v>
      </c>
      <c r="H300" s="20">
        <f t="shared" si="298"/>
        <v>6.52600349</v>
      </c>
      <c r="I300" s="20">
        <f t="shared" si="298"/>
        <v>2.915532286</v>
      </c>
    </row>
    <row r="301" ht="15.75" customHeight="1">
      <c r="A301" s="10">
        <f>Dados!A303</f>
        <v>44265.66667</v>
      </c>
      <c r="B301" s="19">
        <f>Dados!B303</f>
        <v>51.44</v>
      </c>
      <c r="C301" s="19">
        <f>Dados!D303</f>
        <v>232.42</v>
      </c>
      <c r="D301" s="19">
        <f>Dados!F303</f>
        <v>222.69</v>
      </c>
      <c r="E301" s="19">
        <f>Dados!H303</f>
        <v>119.98</v>
      </c>
      <c r="F301" s="20">
        <f t="shared" ref="F301:I301" si="299">STANDARDIZE(B301,$L$7,$L$8)</f>
        <v>0.4844677138</v>
      </c>
      <c r="G301" s="20">
        <f t="shared" si="299"/>
        <v>6.801396161</v>
      </c>
      <c r="H301" s="20">
        <f t="shared" si="299"/>
        <v>6.461780105</v>
      </c>
      <c r="I301" s="20">
        <f t="shared" si="299"/>
        <v>2.876788831</v>
      </c>
    </row>
    <row r="302" ht="15.75" customHeight="1">
      <c r="A302" s="10">
        <f>Dados!A304</f>
        <v>44266.66667</v>
      </c>
      <c r="B302" s="19">
        <f>Dados!B304</f>
        <v>50.88</v>
      </c>
      <c r="C302" s="19">
        <f>Dados!D304</f>
        <v>237.13</v>
      </c>
      <c r="D302" s="19">
        <f>Dados!F304</f>
        <v>233.2</v>
      </c>
      <c r="E302" s="19">
        <f>Dados!H304</f>
        <v>121.96</v>
      </c>
      <c r="F302" s="20">
        <f t="shared" ref="F302:I302" si="300">STANDARDIZE(B302,$L$7,$L$8)</f>
        <v>0.464921466</v>
      </c>
      <c r="G302" s="20">
        <f t="shared" si="300"/>
        <v>6.965794066</v>
      </c>
      <c r="H302" s="20">
        <f t="shared" si="300"/>
        <v>6.828621291</v>
      </c>
      <c r="I302" s="20">
        <f t="shared" si="300"/>
        <v>2.945898778</v>
      </c>
    </row>
    <row r="303" ht="15.75" customHeight="1">
      <c r="A303" s="10">
        <f>Dados!A305</f>
        <v>44267.66667</v>
      </c>
      <c r="B303" s="19">
        <f>Dados!B305</f>
        <v>50.36</v>
      </c>
      <c r="C303" s="19">
        <f>Dados!D305</f>
        <v>235.75</v>
      </c>
      <c r="D303" s="19">
        <f>Dados!F305</f>
        <v>231.24</v>
      </c>
      <c r="E303" s="19">
        <f>Dados!H305</f>
        <v>121.03</v>
      </c>
      <c r="F303" s="20">
        <f t="shared" ref="F303:I303" si="301">STANDARDIZE(B303,$L$7,$L$8)</f>
        <v>0.4467713787</v>
      </c>
      <c r="G303" s="20">
        <f t="shared" si="301"/>
        <v>6.917626527</v>
      </c>
      <c r="H303" s="20">
        <f t="shared" si="301"/>
        <v>6.760209424</v>
      </c>
      <c r="I303" s="20">
        <f t="shared" si="301"/>
        <v>2.913438045</v>
      </c>
    </row>
    <row r="304" ht="15.75" customHeight="1">
      <c r="A304" s="10">
        <f>Dados!A306</f>
        <v>44270.66667</v>
      </c>
      <c r="B304" s="19">
        <f>Dados!B306</f>
        <v>51.03</v>
      </c>
      <c r="C304" s="19">
        <f>Dados!D306</f>
        <v>234.81</v>
      </c>
      <c r="D304" s="19">
        <f>Dados!F306</f>
        <v>235.98</v>
      </c>
      <c r="E304" s="19">
        <f>Dados!H306</f>
        <v>123.99</v>
      </c>
      <c r="F304" s="20">
        <f t="shared" ref="F304:I304" si="302">STANDARDIZE(B304,$L$7,$L$8)</f>
        <v>0.4701570681</v>
      </c>
      <c r="G304" s="20">
        <f t="shared" si="302"/>
        <v>6.884816754</v>
      </c>
      <c r="H304" s="20">
        <f t="shared" si="302"/>
        <v>6.92565445</v>
      </c>
      <c r="I304" s="20">
        <f t="shared" si="302"/>
        <v>3.016753927</v>
      </c>
    </row>
    <row r="305" ht="15.75" customHeight="1">
      <c r="A305" s="10">
        <f>Dados!A307</f>
        <v>44271.66667</v>
      </c>
      <c r="B305" s="19">
        <f>Dados!B307</f>
        <v>51.22</v>
      </c>
      <c r="C305" s="19">
        <f>Dados!D307</f>
        <v>237.71</v>
      </c>
      <c r="D305" s="19">
        <f>Dados!F307</f>
        <v>225.63</v>
      </c>
      <c r="E305" s="19">
        <f>Dados!H307</f>
        <v>125.57</v>
      </c>
      <c r="F305" s="20">
        <f t="shared" ref="F305:I305" si="303">STANDARDIZE(B305,$L$7,$L$8)</f>
        <v>0.4767888307</v>
      </c>
      <c r="G305" s="20">
        <f t="shared" si="303"/>
        <v>6.986038394</v>
      </c>
      <c r="H305" s="20">
        <f t="shared" si="303"/>
        <v>6.564397906</v>
      </c>
      <c r="I305" s="20">
        <f t="shared" si="303"/>
        <v>3.071902269</v>
      </c>
    </row>
    <row r="306" ht="15.75" customHeight="1">
      <c r="A306" s="10">
        <f>Dados!A308</f>
        <v>44272.66667</v>
      </c>
      <c r="B306" s="19">
        <f>Dados!B308</f>
        <v>51.24</v>
      </c>
      <c r="C306" s="19">
        <f>Dados!D308</f>
        <v>237.04</v>
      </c>
      <c r="D306" s="19">
        <f>Dados!F308</f>
        <v>233.94</v>
      </c>
      <c r="E306" s="19">
        <f>Dados!H308</f>
        <v>124.76</v>
      </c>
      <c r="F306" s="20">
        <f t="shared" ref="F306:I306" si="304">STANDARDIZE(B306,$L$7,$L$8)</f>
        <v>0.477486911</v>
      </c>
      <c r="G306" s="20">
        <f t="shared" si="304"/>
        <v>6.962652705</v>
      </c>
      <c r="H306" s="20">
        <f t="shared" si="304"/>
        <v>6.854450262</v>
      </c>
      <c r="I306" s="20">
        <f t="shared" si="304"/>
        <v>3.043630017</v>
      </c>
    </row>
    <row r="307" ht="15.75" customHeight="1">
      <c r="A307" s="10">
        <f>Dados!A309</f>
        <v>44273.66667</v>
      </c>
      <c r="B307" s="19">
        <f>Dados!B309</f>
        <v>50.57</v>
      </c>
      <c r="C307" s="19">
        <f>Dados!D309</f>
        <v>230.72</v>
      </c>
      <c r="D307" s="19">
        <f>Dados!F309</f>
        <v>217.72</v>
      </c>
      <c r="E307" s="19">
        <f>Dados!H309</f>
        <v>120.53</v>
      </c>
      <c r="F307" s="20">
        <f t="shared" ref="F307:I307" si="305">STANDARDIZE(B307,$L$7,$L$8)</f>
        <v>0.4541012216</v>
      </c>
      <c r="G307" s="20">
        <f t="shared" si="305"/>
        <v>6.742059337</v>
      </c>
      <c r="H307" s="20">
        <f t="shared" si="305"/>
        <v>6.288307155</v>
      </c>
      <c r="I307" s="20">
        <f t="shared" si="305"/>
        <v>2.895986038</v>
      </c>
    </row>
    <row r="308" ht="15.75" customHeight="1">
      <c r="A308" s="10">
        <f>Dados!A310</f>
        <v>44274.66667</v>
      </c>
      <c r="B308" s="19">
        <f>Dados!B310</f>
        <v>50.81</v>
      </c>
      <c r="C308" s="19">
        <f>Dados!D310</f>
        <v>230.35</v>
      </c>
      <c r="D308" s="19">
        <f>Dados!F310</f>
        <v>218.29</v>
      </c>
      <c r="E308" s="19">
        <f>Dados!H310</f>
        <v>119.99</v>
      </c>
      <c r="F308" s="20">
        <f t="shared" ref="F308:I308" si="306">STANDARDIZE(B308,$L$7,$L$8)</f>
        <v>0.462478185</v>
      </c>
      <c r="G308" s="20">
        <f t="shared" si="306"/>
        <v>6.729144852</v>
      </c>
      <c r="H308" s="20">
        <f t="shared" si="306"/>
        <v>6.308202443</v>
      </c>
      <c r="I308" s="20">
        <f t="shared" si="306"/>
        <v>2.877137871</v>
      </c>
    </row>
    <row r="309" ht="15.75" customHeight="1">
      <c r="A309" s="10">
        <f>Dados!A311</f>
        <v>44277.66667</v>
      </c>
      <c r="B309" s="19">
        <f>Dados!B311</f>
        <v>51</v>
      </c>
      <c r="C309" s="19">
        <f>Dados!D311</f>
        <v>235.99</v>
      </c>
      <c r="D309" s="19">
        <f>Dados!F311</f>
        <v>223.33</v>
      </c>
      <c r="E309" s="19">
        <f>Dados!H311</f>
        <v>123.39</v>
      </c>
      <c r="F309" s="20">
        <f t="shared" ref="F309:I309" si="307">STANDARDIZE(B309,$L$7,$L$8)</f>
        <v>0.4691099476</v>
      </c>
      <c r="G309" s="20">
        <f t="shared" si="307"/>
        <v>6.92600349</v>
      </c>
      <c r="H309" s="20">
        <f t="shared" si="307"/>
        <v>6.484118674</v>
      </c>
      <c r="I309" s="20">
        <f t="shared" si="307"/>
        <v>2.995811518</v>
      </c>
    </row>
    <row r="310" ht="15.75" customHeight="1">
      <c r="A310" s="10">
        <f>Dados!A312</f>
        <v>44278.66667</v>
      </c>
      <c r="B310" s="19">
        <f>Dados!B312</f>
        <v>51.39</v>
      </c>
      <c r="C310" s="19">
        <f>Dados!D312</f>
        <v>237.58</v>
      </c>
      <c r="D310" s="19">
        <f>Dados!F312</f>
        <v>220.72</v>
      </c>
      <c r="E310" s="19">
        <f>Dados!H312</f>
        <v>122.54</v>
      </c>
      <c r="F310" s="20">
        <f t="shared" ref="F310:I310" si="308">STANDARDIZE(B310,$L$7,$L$8)</f>
        <v>0.4827225131</v>
      </c>
      <c r="G310" s="20">
        <f t="shared" si="308"/>
        <v>6.981500873</v>
      </c>
      <c r="H310" s="20">
        <f t="shared" si="308"/>
        <v>6.393019197</v>
      </c>
      <c r="I310" s="20">
        <f t="shared" si="308"/>
        <v>2.966143106</v>
      </c>
    </row>
    <row r="311" ht="15.75" customHeight="1">
      <c r="A311" s="10">
        <f>Dados!A313</f>
        <v>44279.66667</v>
      </c>
      <c r="B311" s="19">
        <f>Dados!B313</f>
        <v>51.52</v>
      </c>
      <c r="C311" s="19">
        <f>Dados!D313</f>
        <v>235.46</v>
      </c>
      <c r="D311" s="19">
        <f>Dados!F313</f>
        <v>210.09</v>
      </c>
      <c r="E311" s="19">
        <f>Dados!H313</f>
        <v>120.09</v>
      </c>
      <c r="F311" s="20">
        <f t="shared" ref="F311:I311" si="309">STANDARDIZE(B311,$L$7,$L$8)</f>
        <v>0.4872600349</v>
      </c>
      <c r="G311" s="20">
        <f t="shared" si="309"/>
        <v>6.907504363</v>
      </c>
      <c r="H311" s="20">
        <f t="shared" si="309"/>
        <v>6.021989529</v>
      </c>
      <c r="I311" s="20">
        <f t="shared" si="309"/>
        <v>2.880628272</v>
      </c>
    </row>
    <row r="312" ht="15.75" customHeight="1">
      <c r="A312" s="10">
        <f>Dados!A314</f>
        <v>44280.66667</v>
      </c>
      <c r="B312" s="19">
        <f>Dados!B314</f>
        <v>52.02</v>
      </c>
      <c r="C312" s="19">
        <f>Dados!D314</f>
        <v>232.34</v>
      </c>
      <c r="D312" s="19">
        <f>Dados!F314</f>
        <v>213.46</v>
      </c>
      <c r="E312" s="19">
        <f>Dados!H314</f>
        <v>120.59</v>
      </c>
      <c r="F312" s="20">
        <f t="shared" ref="F312:I312" si="310">STANDARDIZE(B312,$L$7,$L$8)</f>
        <v>0.5047120419</v>
      </c>
      <c r="G312" s="20">
        <f t="shared" si="310"/>
        <v>6.798603839</v>
      </c>
      <c r="H312" s="20">
        <f t="shared" si="310"/>
        <v>6.139616056</v>
      </c>
      <c r="I312" s="20">
        <f t="shared" si="310"/>
        <v>2.898080279</v>
      </c>
    </row>
    <row r="313" ht="15.75" customHeight="1">
      <c r="A313" s="10">
        <f>Dados!A315</f>
        <v>44281.66667</v>
      </c>
      <c r="B313" s="19">
        <f>Dados!B315</f>
        <v>53.04</v>
      </c>
      <c r="C313" s="19">
        <f>Dados!D315</f>
        <v>236.48</v>
      </c>
      <c r="D313" s="19">
        <f>Dados!F315</f>
        <v>206.24</v>
      </c>
      <c r="E313" s="19">
        <f>Dados!H315</f>
        <v>121.21</v>
      </c>
      <c r="F313" s="20">
        <f t="shared" ref="F313:I313" si="311">STANDARDIZE(B313,$L$7,$L$8)</f>
        <v>0.5403141361</v>
      </c>
      <c r="G313" s="20">
        <f t="shared" si="311"/>
        <v>6.943106457</v>
      </c>
      <c r="H313" s="20">
        <f t="shared" si="311"/>
        <v>5.887609075</v>
      </c>
      <c r="I313" s="20">
        <f t="shared" si="311"/>
        <v>2.919720768</v>
      </c>
    </row>
    <row r="314" ht="15.75" customHeight="1">
      <c r="A314" s="10">
        <f>Dados!A316</f>
        <v>44284.66667</v>
      </c>
      <c r="B314" s="19">
        <f>Dados!B316</f>
        <v>53.85</v>
      </c>
      <c r="C314" s="19">
        <f>Dados!D316</f>
        <v>235.24</v>
      </c>
      <c r="D314" s="19">
        <f>Dados!F316</f>
        <v>203.76</v>
      </c>
      <c r="E314" s="19">
        <f>Dados!H316</f>
        <v>121.39</v>
      </c>
      <c r="F314" s="20">
        <f t="shared" ref="F314:I314" si="312">STANDARDIZE(B314,$L$7,$L$8)</f>
        <v>0.5685863874</v>
      </c>
      <c r="G314" s="20">
        <f t="shared" si="312"/>
        <v>6.89982548</v>
      </c>
      <c r="H314" s="20">
        <f t="shared" si="312"/>
        <v>5.80104712</v>
      </c>
      <c r="I314" s="20">
        <f t="shared" si="312"/>
        <v>2.92600349</v>
      </c>
    </row>
    <row r="315" ht="15.75" customHeight="1">
      <c r="A315" s="10">
        <f>Dados!A317</f>
        <v>44285.66667</v>
      </c>
      <c r="B315" s="19">
        <f>Dados!B317</f>
        <v>53.15</v>
      </c>
      <c r="C315" s="19">
        <f>Dados!D317</f>
        <v>231.85</v>
      </c>
      <c r="D315" s="19">
        <f>Dados!F317</f>
        <v>211.87</v>
      </c>
      <c r="E315" s="19">
        <f>Dados!H317</f>
        <v>119.9</v>
      </c>
      <c r="F315" s="20">
        <f t="shared" ref="F315:I315" si="313">STANDARDIZE(B315,$L$7,$L$8)</f>
        <v>0.5441535777</v>
      </c>
      <c r="G315" s="20">
        <f t="shared" si="313"/>
        <v>6.781500873</v>
      </c>
      <c r="H315" s="20">
        <f t="shared" si="313"/>
        <v>6.084118674</v>
      </c>
      <c r="I315" s="20">
        <f t="shared" si="313"/>
        <v>2.87399651</v>
      </c>
    </row>
    <row r="316" ht="15.75" customHeight="1">
      <c r="A316" s="10">
        <f>Dados!A318</f>
        <v>44286.66667</v>
      </c>
      <c r="B316" s="19">
        <f>Dados!B318</f>
        <v>52.71</v>
      </c>
      <c r="C316" s="19">
        <f>Dados!D318</f>
        <v>235.77</v>
      </c>
      <c r="D316" s="19">
        <f>Dados!F318</f>
        <v>222.64</v>
      </c>
      <c r="E316" s="19">
        <f>Dados!H318</f>
        <v>122.15</v>
      </c>
      <c r="F316" s="20">
        <f t="shared" ref="F316:I316" si="314">STANDARDIZE(B316,$L$7,$L$8)</f>
        <v>0.5287958115</v>
      </c>
      <c r="G316" s="20">
        <f t="shared" si="314"/>
        <v>6.918324607</v>
      </c>
      <c r="H316" s="20">
        <f t="shared" si="314"/>
        <v>6.460034904</v>
      </c>
      <c r="I316" s="20">
        <f t="shared" si="314"/>
        <v>2.952530541</v>
      </c>
    </row>
    <row r="317" ht="15.75" customHeight="1">
      <c r="A317" s="10">
        <f>Dados!A319</f>
        <v>44287.66667</v>
      </c>
      <c r="B317" s="19">
        <f>Dados!B319</f>
        <v>52.51</v>
      </c>
      <c r="C317" s="19">
        <f>Dados!D319</f>
        <v>242.35</v>
      </c>
      <c r="D317" s="19">
        <f>Dados!F319</f>
        <v>220.58</v>
      </c>
      <c r="E317" s="19">
        <f>Dados!H319</f>
        <v>123</v>
      </c>
      <c r="F317" s="20">
        <f t="shared" ref="F317:I317" si="315">STANDARDIZE(B317,$L$7,$L$8)</f>
        <v>0.5218150087</v>
      </c>
      <c r="G317" s="20">
        <f t="shared" si="315"/>
        <v>7.147993019</v>
      </c>
      <c r="H317" s="20">
        <f t="shared" si="315"/>
        <v>6.388132635</v>
      </c>
      <c r="I317" s="20">
        <f t="shared" si="315"/>
        <v>2.982198953</v>
      </c>
    </row>
    <row r="318" ht="15.75" customHeight="1">
      <c r="A318" s="10">
        <f>Dados!A320</f>
        <v>44291.66667</v>
      </c>
      <c r="B318" s="19">
        <f>Dados!B320</f>
        <v>52.81</v>
      </c>
      <c r="C318" s="19">
        <f>Dados!D320</f>
        <v>249.07</v>
      </c>
      <c r="D318" s="19">
        <f>Dados!F320</f>
        <v>230.35</v>
      </c>
      <c r="E318" s="19">
        <f>Dados!H320</f>
        <v>125.9</v>
      </c>
      <c r="F318" s="20">
        <f t="shared" ref="F318:I318" si="316">STANDARDIZE(B318,$L$7,$L$8)</f>
        <v>0.5322862129</v>
      </c>
      <c r="G318" s="20">
        <f t="shared" si="316"/>
        <v>7.382547993</v>
      </c>
      <c r="H318" s="20">
        <f t="shared" si="316"/>
        <v>6.729144852</v>
      </c>
      <c r="I318" s="20">
        <f t="shared" si="316"/>
        <v>3.083420593</v>
      </c>
    </row>
    <row r="319" ht="15.75" customHeight="1">
      <c r="A319" s="10">
        <f>Dados!A321</f>
        <v>44292.66667</v>
      </c>
      <c r="B319" s="19">
        <f>Dados!B321</f>
        <v>53.19</v>
      </c>
      <c r="C319" s="19">
        <f>Dados!D321</f>
        <v>247.86</v>
      </c>
      <c r="D319" s="19">
        <f>Dados!F321</f>
        <v>230.54</v>
      </c>
      <c r="E319" s="19">
        <f>Dados!H321</f>
        <v>126.21</v>
      </c>
      <c r="F319" s="20">
        <f t="shared" ref="F319:I319" si="317">STANDARDIZE(B319,$L$7,$L$8)</f>
        <v>0.5455497382</v>
      </c>
      <c r="G319" s="20">
        <f t="shared" si="317"/>
        <v>7.340314136</v>
      </c>
      <c r="H319" s="20">
        <f t="shared" si="317"/>
        <v>6.735776614</v>
      </c>
      <c r="I319" s="20">
        <f t="shared" si="317"/>
        <v>3.094240838</v>
      </c>
    </row>
    <row r="320" ht="15.75" customHeight="1">
      <c r="A320" s="10">
        <f>Dados!A322</f>
        <v>44293.66667</v>
      </c>
      <c r="B320" s="19">
        <f>Dados!B322</f>
        <v>53.28</v>
      </c>
      <c r="C320" s="19">
        <f>Dados!D322</f>
        <v>249.9</v>
      </c>
      <c r="D320" s="19">
        <f>Dados!F322</f>
        <v>223.66</v>
      </c>
      <c r="E320" s="19">
        <f>Dados!H322</f>
        <v>127.9</v>
      </c>
      <c r="F320" s="20">
        <f t="shared" ref="F320:I320" si="318">STANDARDIZE(B320,$L$7,$L$8)</f>
        <v>0.5486910995</v>
      </c>
      <c r="G320" s="20">
        <f t="shared" si="318"/>
        <v>7.411518325</v>
      </c>
      <c r="H320" s="20">
        <f t="shared" si="318"/>
        <v>6.495636998</v>
      </c>
      <c r="I320" s="20">
        <f t="shared" si="318"/>
        <v>3.153228621</v>
      </c>
    </row>
    <row r="321" ht="15.75" customHeight="1">
      <c r="A321" s="10">
        <f>Dados!A323</f>
        <v>44294.66667</v>
      </c>
      <c r="B321" s="19">
        <f>Dados!B323</f>
        <v>53.12</v>
      </c>
      <c r="C321" s="19">
        <f>Dados!D323</f>
        <v>253.25</v>
      </c>
      <c r="D321" s="19">
        <f>Dados!F323</f>
        <v>227.93</v>
      </c>
      <c r="E321" s="19">
        <f>Dados!H323</f>
        <v>130.36</v>
      </c>
      <c r="F321" s="20">
        <f t="shared" ref="F321:I321" si="319">STANDARDIZE(B321,$L$7,$L$8)</f>
        <v>0.5431064572</v>
      </c>
      <c r="G321" s="20">
        <f t="shared" si="319"/>
        <v>7.528446771</v>
      </c>
      <c r="H321" s="20">
        <f t="shared" si="319"/>
        <v>6.644677138</v>
      </c>
      <c r="I321" s="20">
        <f t="shared" si="319"/>
        <v>3.239092496</v>
      </c>
    </row>
    <row r="322" ht="15.75" customHeight="1">
      <c r="A322" s="10">
        <f>Dados!A324</f>
        <v>44295.66667</v>
      </c>
      <c r="B322" s="19">
        <f>Dados!B324</f>
        <v>53.18</v>
      </c>
      <c r="C322" s="19">
        <f>Dados!D324</f>
        <v>255.85</v>
      </c>
      <c r="D322" s="19">
        <f>Dados!F324</f>
        <v>225.67</v>
      </c>
      <c r="E322" s="19">
        <f>Dados!H324</f>
        <v>133</v>
      </c>
      <c r="F322" s="20">
        <f t="shared" ref="F322:I322" si="320">STANDARDIZE(B322,$L$7,$L$8)</f>
        <v>0.5452006981</v>
      </c>
      <c r="G322" s="20">
        <f t="shared" si="320"/>
        <v>7.619197208</v>
      </c>
      <c r="H322" s="20">
        <f t="shared" si="320"/>
        <v>6.565794066</v>
      </c>
      <c r="I322" s="20">
        <f t="shared" si="320"/>
        <v>3.331239092</v>
      </c>
    </row>
    <row r="323" ht="15.75" customHeight="1">
      <c r="A323" s="10">
        <f>Dados!A325</f>
        <v>44298.66667</v>
      </c>
      <c r="B323" s="19">
        <f>Dados!B325</f>
        <v>53.35</v>
      </c>
      <c r="C323" s="19">
        <f>Dados!D325</f>
        <v>255.91</v>
      </c>
      <c r="D323" s="19">
        <f>Dados!F325</f>
        <v>233.99</v>
      </c>
      <c r="E323" s="19">
        <f>Dados!H325</f>
        <v>131.24</v>
      </c>
      <c r="F323" s="20">
        <f t="shared" ref="F323:I323" si="321">STANDARDIZE(B323,$L$7,$L$8)</f>
        <v>0.5511343805</v>
      </c>
      <c r="G323" s="20">
        <f t="shared" si="321"/>
        <v>7.621291449</v>
      </c>
      <c r="H323" s="20">
        <f t="shared" si="321"/>
        <v>6.856195462</v>
      </c>
      <c r="I323" s="20">
        <f t="shared" si="321"/>
        <v>3.269808028</v>
      </c>
    </row>
    <row r="324" ht="15.75" customHeight="1">
      <c r="A324" s="10">
        <f>Dados!A326</f>
        <v>44299.66667</v>
      </c>
      <c r="B324" s="19">
        <f>Dados!B326</f>
        <v>53.09</v>
      </c>
      <c r="C324" s="19">
        <f>Dados!D326</f>
        <v>258.49</v>
      </c>
      <c r="D324" s="19">
        <f>Dados!F326</f>
        <v>254.11</v>
      </c>
      <c r="E324" s="19">
        <f>Dados!H326</f>
        <v>134.43</v>
      </c>
      <c r="F324" s="20">
        <f t="shared" ref="F324:I324" si="322">STANDARDIZE(B324,$L$7,$L$8)</f>
        <v>0.5420593368</v>
      </c>
      <c r="G324" s="20">
        <f t="shared" si="322"/>
        <v>7.711343805</v>
      </c>
      <c r="H324" s="20">
        <f t="shared" si="322"/>
        <v>7.558464223</v>
      </c>
      <c r="I324" s="20">
        <f t="shared" si="322"/>
        <v>3.381151832</v>
      </c>
    </row>
    <row r="325" ht="15.75" customHeight="1">
      <c r="A325" s="10">
        <f>Dados!A327</f>
        <v>44300.66667</v>
      </c>
      <c r="B325" s="19">
        <f>Dados!B327</f>
        <v>53.08</v>
      </c>
      <c r="C325" s="19">
        <f>Dados!D327</f>
        <v>255.59</v>
      </c>
      <c r="D325" s="19">
        <f>Dados!F327</f>
        <v>244.08</v>
      </c>
      <c r="E325" s="19">
        <f>Dados!H327</f>
        <v>132.03</v>
      </c>
      <c r="F325" s="20">
        <f t="shared" ref="F325:I325" si="323">STANDARDIZE(B325,$L$7,$L$8)</f>
        <v>0.5417102967</v>
      </c>
      <c r="G325" s="20">
        <f t="shared" si="323"/>
        <v>7.610122164</v>
      </c>
      <c r="H325" s="20">
        <f t="shared" si="323"/>
        <v>7.208376963</v>
      </c>
      <c r="I325" s="20">
        <f t="shared" si="323"/>
        <v>3.297382199</v>
      </c>
    </row>
    <row r="326" ht="15.75" customHeight="1">
      <c r="A326" s="10">
        <f>Dados!A328</f>
        <v>44301.66667</v>
      </c>
      <c r="B326" s="19">
        <f>Dados!B328</f>
        <v>53.33</v>
      </c>
      <c r="C326" s="19">
        <f>Dados!D328</f>
        <v>259.5</v>
      </c>
      <c r="D326" s="19">
        <f>Dados!F328</f>
        <v>246.28</v>
      </c>
      <c r="E326" s="19">
        <f>Dados!H328</f>
        <v>134.5</v>
      </c>
      <c r="F326" s="20">
        <f t="shared" ref="F326:I326" si="324">STANDARDIZE(B326,$L$7,$L$8)</f>
        <v>0.5504363002</v>
      </c>
      <c r="G326" s="20">
        <f t="shared" si="324"/>
        <v>7.746596859</v>
      </c>
      <c r="H326" s="20">
        <f t="shared" si="324"/>
        <v>7.285165794</v>
      </c>
      <c r="I326" s="20">
        <f t="shared" si="324"/>
        <v>3.383595113</v>
      </c>
    </row>
    <row r="327" ht="15.75" customHeight="1">
      <c r="A327" s="10">
        <f>Dados!A329</f>
        <v>44302.66667</v>
      </c>
      <c r="B327" s="19">
        <f>Dados!B329</f>
        <v>53.68</v>
      </c>
      <c r="C327" s="19">
        <f>Dados!D329</f>
        <v>260.74</v>
      </c>
      <c r="D327" s="19">
        <f>Dados!F329</f>
        <v>246.59</v>
      </c>
      <c r="E327" s="19">
        <f>Dados!H329</f>
        <v>134.16</v>
      </c>
      <c r="F327" s="20">
        <f t="shared" ref="F327:I327" si="325">STANDARDIZE(B327,$L$7,$L$8)</f>
        <v>0.5626527051</v>
      </c>
      <c r="G327" s="20">
        <f t="shared" si="325"/>
        <v>7.789877836</v>
      </c>
      <c r="H327" s="20">
        <f t="shared" si="325"/>
        <v>7.295986038</v>
      </c>
      <c r="I327" s="20">
        <f t="shared" si="325"/>
        <v>3.371727749</v>
      </c>
    </row>
    <row r="328" ht="15.75" customHeight="1">
      <c r="A328" s="10">
        <f>Dados!A330</f>
        <v>44305.66667</v>
      </c>
      <c r="B328" s="19">
        <f>Dados!B330</f>
        <v>54</v>
      </c>
      <c r="C328" s="19">
        <f>Dados!D330</f>
        <v>258.74</v>
      </c>
      <c r="D328" s="19">
        <f>Dados!F330</f>
        <v>238.21</v>
      </c>
      <c r="E328" s="19">
        <f>Dados!H330</f>
        <v>134.84</v>
      </c>
      <c r="F328" s="20">
        <f t="shared" ref="F328:I328" si="326">STANDARDIZE(B328,$L$7,$L$8)</f>
        <v>0.5738219895</v>
      </c>
      <c r="G328" s="20">
        <f t="shared" si="326"/>
        <v>7.720069808</v>
      </c>
      <c r="H328" s="20">
        <f t="shared" si="326"/>
        <v>7.003490401</v>
      </c>
      <c r="I328" s="20">
        <f t="shared" si="326"/>
        <v>3.395462478</v>
      </c>
    </row>
    <row r="329" ht="15.75" customHeight="1">
      <c r="A329" s="10">
        <f>Dados!A331</f>
        <v>44306.66667</v>
      </c>
      <c r="B329" s="19">
        <f>Dados!B331</f>
        <v>54.17</v>
      </c>
      <c r="C329" s="19">
        <f>Dados!D331</f>
        <v>258.26</v>
      </c>
      <c r="D329" s="19">
        <f>Dados!F331</f>
        <v>239.66</v>
      </c>
      <c r="E329" s="19">
        <f>Dados!H331</f>
        <v>133.11</v>
      </c>
      <c r="F329" s="20">
        <f t="shared" ref="F329:I329" si="327">STANDARDIZE(B329,$L$7,$L$8)</f>
        <v>0.5797556719</v>
      </c>
      <c r="G329" s="20">
        <f t="shared" si="327"/>
        <v>7.703315881</v>
      </c>
      <c r="H329" s="20">
        <f t="shared" si="327"/>
        <v>7.054101222</v>
      </c>
      <c r="I329" s="20">
        <f t="shared" si="327"/>
        <v>3.335078534</v>
      </c>
    </row>
    <row r="330" ht="15.75" customHeight="1">
      <c r="A330" s="10">
        <f>Dados!A332</f>
        <v>44307.66667</v>
      </c>
      <c r="B330" s="19">
        <f>Dados!B332</f>
        <v>54.61</v>
      </c>
      <c r="C330" s="19">
        <f>Dados!D332</f>
        <v>260.58</v>
      </c>
      <c r="D330" s="19">
        <f>Dados!F332</f>
        <v>248.04</v>
      </c>
      <c r="E330" s="19">
        <f>Dados!H332</f>
        <v>133.5</v>
      </c>
      <c r="F330" s="20">
        <f t="shared" ref="F330:I330" si="328">STANDARDIZE(B330,$L$7,$L$8)</f>
        <v>0.595113438</v>
      </c>
      <c r="G330" s="20">
        <f t="shared" si="328"/>
        <v>7.784293194</v>
      </c>
      <c r="H330" s="20">
        <f t="shared" si="328"/>
        <v>7.346596859</v>
      </c>
      <c r="I330" s="20">
        <f t="shared" si="328"/>
        <v>3.348691099</v>
      </c>
    </row>
    <row r="331" ht="15.75" customHeight="1">
      <c r="A331" s="10">
        <f>Dados!A333</f>
        <v>44308.66667</v>
      </c>
      <c r="B331" s="19">
        <f>Dados!B333</f>
        <v>54.44</v>
      </c>
      <c r="C331" s="19">
        <f>Dados!D333</f>
        <v>257.17</v>
      </c>
      <c r="D331" s="19">
        <f>Dados!F333</f>
        <v>239.9</v>
      </c>
      <c r="E331" s="19">
        <f>Dados!H333</f>
        <v>131.94</v>
      </c>
      <c r="F331" s="20">
        <f t="shared" ref="F331:I331" si="329">STANDARDIZE(B331,$L$7,$L$8)</f>
        <v>0.5891797557</v>
      </c>
      <c r="G331" s="20">
        <f t="shared" si="329"/>
        <v>7.665270506</v>
      </c>
      <c r="H331" s="20">
        <f t="shared" si="329"/>
        <v>7.062478185</v>
      </c>
      <c r="I331" s="20">
        <f t="shared" si="329"/>
        <v>3.294240838</v>
      </c>
    </row>
    <row r="332" ht="15.75" customHeight="1">
      <c r="A332" s="10">
        <f>Dados!A334</f>
        <v>44309.66667</v>
      </c>
      <c r="B332" s="19">
        <f>Dados!B334</f>
        <v>54.47</v>
      </c>
      <c r="C332" s="19">
        <f>Dados!D334</f>
        <v>261.15</v>
      </c>
      <c r="D332" s="19">
        <f>Dados!F334</f>
        <v>243.13</v>
      </c>
      <c r="E332" s="19">
        <f>Dados!H334</f>
        <v>134.32</v>
      </c>
      <c r="F332" s="20">
        <f t="shared" ref="F332:I332" si="330">STANDARDIZE(B332,$L$7,$L$8)</f>
        <v>0.5902268761</v>
      </c>
      <c r="G332" s="20">
        <f t="shared" si="330"/>
        <v>7.804188482</v>
      </c>
      <c r="H332" s="20">
        <f t="shared" si="330"/>
        <v>7.17521815</v>
      </c>
      <c r="I332" s="20">
        <f t="shared" si="330"/>
        <v>3.377312391</v>
      </c>
    </row>
    <row r="333" ht="15.75" customHeight="1">
      <c r="A333" s="10">
        <f>Dados!A335</f>
        <v>44312.66667</v>
      </c>
      <c r="B333" s="19">
        <f>Dados!B335</f>
        <v>53.66</v>
      </c>
      <c r="C333" s="19">
        <f>Dados!D335</f>
        <v>261.55</v>
      </c>
      <c r="D333" s="19">
        <f>Dados!F335</f>
        <v>246.07</v>
      </c>
      <c r="E333" s="19">
        <f>Dados!H335</f>
        <v>134.72</v>
      </c>
      <c r="F333" s="20">
        <f t="shared" ref="F333:I333" si="331">STANDARDIZE(B333,$L$7,$L$8)</f>
        <v>0.5619546248</v>
      </c>
      <c r="G333" s="20">
        <f t="shared" si="331"/>
        <v>7.818150087</v>
      </c>
      <c r="H333" s="20">
        <f t="shared" si="331"/>
        <v>7.277835951</v>
      </c>
      <c r="I333" s="20">
        <f t="shared" si="331"/>
        <v>3.391273997</v>
      </c>
    </row>
    <row r="334" ht="15.75" customHeight="1">
      <c r="A334" s="10">
        <f>Dados!A336</f>
        <v>44313.66667</v>
      </c>
      <c r="B334" s="19">
        <f>Dados!B336</f>
        <v>53.58</v>
      </c>
      <c r="C334" s="19">
        <f>Dados!D336</f>
        <v>261.97</v>
      </c>
      <c r="D334" s="19">
        <f>Dados!F336</f>
        <v>234.91</v>
      </c>
      <c r="E334" s="19">
        <f>Dados!H336</f>
        <v>134.39</v>
      </c>
      <c r="F334" s="20">
        <f t="shared" ref="F334:I334" si="332">STANDARDIZE(B334,$L$7,$L$8)</f>
        <v>0.5591623037</v>
      </c>
      <c r="G334" s="20">
        <f t="shared" si="332"/>
        <v>7.832809773</v>
      </c>
      <c r="H334" s="20">
        <f t="shared" si="332"/>
        <v>6.888307155</v>
      </c>
      <c r="I334" s="20">
        <f t="shared" si="332"/>
        <v>3.379755672</v>
      </c>
    </row>
    <row r="335" ht="15.75" customHeight="1">
      <c r="A335" s="10">
        <f>Dados!A337</f>
        <v>44314.66667</v>
      </c>
      <c r="B335" s="19">
        <f>Dados!B337</f>
        <v>53.59</v>
      </c>
      <c r="C335" s="19">
        <f>Dados!D337</f>
        <v>254.56</v>
      </c>
      <c r="D335" s="19">
        <f>Dados!F337</f>
        <v>231.47</v>
      </c>
      <c r="E335" s="19">
        <f>Dados!H337</f>
        <v>133.58</v>
      </c>
      <c r="F335" s="20">
        <f t="shared" ref="F335:I335" si="333">STANDARDIZE(B335,$L$7,$L$8)</f>
        <v>0.5595113438</v>
      </c>
      <c r="G335" s="20">
        <f t="shared" si="333"/>
        <v>7.57417103</v>
      </c>
      <c r="H335" s="20">
        <f t="shared" si="333"/>
        <v>6.768237347</v>
      </c>
      <c r="I335" s="20">
        <f t="shared" si="333"/>
        <v>3.351483421</v>
      </c>
    </row>
    <row r="336" ht="15.75" customHeight="1">
      <c r="A336" s="10">
        <f>Dados!A338</f>
        <v>44315.66667</v>
      </c>
      <c r="B336" s="19">
        <f>Dados!B338</f>
        <v>54.26</v>
      </c>
      <c r="C336" s="19">
        <f>Dados!D338</f>
        <v>252.51</v>
      </c>
      <c r="D336" s="19">
        <f>Dados!F338</f>
        <v>225.67</v>
      </c>
      <c r="E336" s="19">
        <f>Dados!H338</f>
        <v>133.48</v>
      </c>
      <c r="F336" s="20">
        <f t="shared" ref="F336:I336" si="334">STANDARDIZE(B336,$L$7,$L$8)</f>
        <v>0.5828970332</v>
      </c>
      <c r="G336" s="20">
        <f t="shared" si="334"/>
        <v>7.502617801</v>
      </c>
      <c r="H336" s="20">
        <f t="shared" si="334"/>
        <v>6.565794066</v>
      </c>
      <c r="I336" s="20">
        <f t="shared" si="334"/>
        <v>3.347993019</v>
      </c>
    </row>
    <row r="337" ht="15.75" customHeight="1">
      <c r="A337" s="10">
        <f>Dados!A339</f>
        <v>44316.66667</v>
      </c>
      <c r="B337" s="19">
        <f>Dados!B339</f>
        <v>53.98</v>
      </c>
      <c r="C337" s="19">
        <f>Dados!D339</f>
        <v>252.18</v>
      </c>
      <c r="D337" s="19">
        <f>Dados!F339</f>
        <v>236.48</v>
      </c>
      <c r="E337" s="19">
        <f>Dados!H339</f>
        <v>131.46</v>
      </c>
      <c r="F337" s="20">
        <f t="shared" ref="F337:I337" si="335">STANDARDIZE(B337,$L$7,$L$8)</f>
        <v>0.5731239092</v>
      </c>
      <c r="G337" s="20">
        <f t="shared" si="335"/>
        <v>7.491099476</v>
      </c>
      <c r="H337" s="20">
        <f t="shared" si="335"/>
        <v>6.943106457</v>
      </c>
      <c r="I337" s="20">
        <f t="shared" si="335"/>
        <v>3.277486911</v>
      </c>
    </row>
    <row r="338" ht="15.75" customHeight="1">
      <c r="A338" s="10">
        <f>Dados!A340</f>
        <v>44319.66667</v>
      </c>
      <c r="B338" s="19">
        <f>Dados!B340</f>
        <v>54.48</v>
      </c>
      <c r="C338" s="19">
        <f>Dados!D340</f>
        <v>251.86</v>
      </c>
      <c r="D338" s="19">
        <f>Dados!F340</f>
        <v>228.3</v>
      </c>
      <c r="E338" s="19">
        <f>Dados!H340</f>
        <v>132.54</v>
      </c>
      <c r="F338" s="20">
        <f t="shared" ref="F338:I338" si="336">STANDARDIZE(B338,$L$7,$L$8)</f>
        <v>0.5905759162</v>
      </c>
      <c r="G338" s="20">
        <f t="shared" si="336"/>
        <v>7.479930192</v>
      </c>
      <c r="H338" s="20">
        <f t="shared" si="336"/>
        <v>6.657591623</v>
      </c>
      <c r="I338" s="20">
        <f t="shared" si="336"/>
        <v>3.315183246</v>
      </c>
    </row>
    <row r="339" ht="15.75" customHeight="1">
      <c r="A339" s="10">
        <f>Dados!A341</f>
        <v>44320.66667</v>
      </c>
      <c r="B339" s="19">
        <f>Dados!B341</f>
        <v>54.14</v>
      </c>
      <c r="C339" s="19">
        <f>Dados!D341</f>
        <v>247.79</v>
      </c>
      <c r="D339" s="19">
        <f>Dados!F341</f>
        <v>224.53</v>
      </c>
      <c r="E339" s="19">
        <f>Dados!H341</f>
        <v>127.85</v>
      </c>
      <c r="F339" s="20">
        <f t="shared" ref="F339:I339" si="337">STANDARDIZE(B339,$L$7,$L$8)</f>
        <v>0.5787085515</v>
      </c>
      <c r="G339" s="20">
        <f t="shared" si="337"/>
        <v>7.337870855</v>
      </c>
      <c r="H339" s="20">
        <f t="shared" si="337"/>
        <v>6.52600349</v>
      </c>
      <c r="I339" s="20">
        <f t="shared" si="337"/>
        <v>3.151483421</v>
      </c>
    </row>
    <row r="340" ht="15.75" customHeight="1">
      <c r="A340" s="10">
        <f>Dados!A342</f>
        <v>44321.66667</v>
      </c>
      <c r="B340" s="19">
        <f>Dados!B342</f>
        <v>54</v>
      </c>
      <c r="C340" s="19">
        <f>Dados!D342</f>
        <v>246.47</v>
      </c>
      <c r="D340" s="19">
        <f>Dados!F342</f>
        <v>223.65</v>
      </c>
      <c r="E340" s="19">
        <f>Dados!H342</f>
        <v>128.1</v>
      </c>
      <c r="F340" s="20">
        <f t="shared" ref="F340:I340" si="338">STANDARDIZE(B340,$L$7,$L$8)</f>
        <v>0.5738219895</v>
      </c>
      <c r="G340" s="20">
        <f t="shared" si="338"/>
        <v>7.291797557</v>
      </c>
      <c r="H340" s="20">
        <f t="shared" si="338"/>
        <v>6.495287958</v>
      </c>
      <c r="I340" s="20">
        <f t="shared" si="338"/>
        <v>3.160209424</v>
      </c>
    </row>
    <row r="341" ht="15.75" customHeight="1">
      <c r="A341" s="10">
        <f>Dados!A343</f>
        <v>44322.66667</v>
      </c>
      <c r="B341" s="19">
        <f>Dados!B343</f>
        <v>54.54</v>
      </c>
      <c r="C341" s="19">
        <f>Dados!D343</f>
        <v>249.73</v>
      </c>
      <c r="D341" s="19">
        <f>Dados!F343</f>
        <v>221.18</v>
      </c>
      <c r="E341" s="19">
        <f>Dados!H343</f>
        <v>129.74</v>
      </c>
      <c r="F341" s="20">
        <f t="shared" ref="F341:I341" si="339">STANDARDIZE(B341,$L$7,$L$8)</f>
        <v>0.5926701571</v>
      </c>
      <c r="G341" s="20">
        <f t="shared" si="339"/>
        <v>7.405584642</v>
      </c>
      <c r="H341" s="20">
        <f t="shared" si="339"/>
        <v>6.409075044</v>
      </c>
      <c r="I341" s="20">
        <f t="shared" si="339"/>
        <v>3.217452007</v>
      </c>
    </row>
    <row r="342" ht="15.75" customHeight="1">
      <c r="A342" s="10">
        <f>Dados!A344</f>
        <v>44323.66667</v>
      </c>
      <c r="B342" s="19">
        <f>Dados!B344</f>
        <v>54.51</v>
      </c>
      <c r="C342" s="19">
        <f>Dados!D344</f>
        <v>252.46</v>
      </c>
      <c r="D342" s="19">
        <f>Dados!F344</f>
        <v>224.12</v>
      </c>
      <c r="E342" s="19">
        <f>Dados!H344</f>
        <v>130.21</v>
      </c>
      <c r="F342" s="20">
        <f t="shared" ref="F342:I342" si="340">STANDARDIZE(B342,$L$7,$L$8)</f>
        <v>0.5916230366</v>
      </c>
      <c r="G342" s="20">
        <f t="shared" si="340"/>
        <v>7.5008726</v>
      </c>
      <c r="H342" s="20">
        <f t="shared" si="340"/>
        <v>6.511692845</v>
      </c>
      <c r="I342" s="20">
        <f t="shared" si="340"/>
        <v>3.233856894</v>
      </c>
    </row>
    <row r="343" ht="15.75" customHeight="1">
      <c r="A343" s="10">
        <f>Dados!A345</f>
        <v>44326.66667</v>
      </c>
      <c r="B343" s="19">
        <f>Dados!B345</f>
        <v>54.91</v>
      </c>
      <c r="C343" s="19">
        <f>Dados!D345</f>
        <v>247.18</v>
      </c>
      <c r="D343" s="19">
        <f>Dados!F345</f>
        <v>209.68</v>
      </c>
      <c r="E343" s="19">
        <f>Dados!H345</f>
        <v>126.85</v>
      </c>
      <c r="F343" s="20">
        <f t="shared" ref="F343:I343" si="341">STANDARDIZE(B343,$L$7,$L$8)</f>
        <v>0.6055846422</v>
      </c>
      <c r="G343" s="20">
        <f t="shared" si="341"/>
        <v>7.316579407</v>
      </c>
      <c r="H343" s="20">
        <f t="shared" si="341"/>
        <v>6.007678883</v>
      </c>
      <c r="I343" s="20">
        <f t="shared" si="341"/>
        <v>3.116579407</v>
      </c>
    </row>
    <row r="344" ht="15.75" customHeight="1">
      <c r="A344" s="10">
        <f>Dados!A346</f>
        <v>44327.66667</v>
      </c>
      <c r="B344" s="19">
        <f>Dados!B346</f>
        <v>54.32</v>
      </c>
      <c r="C344" s="19">
        <f>Dados!D346</f>
        <v>246.23</v>
      </c>
      <c r="D344" s="19">
        <f>Dados!F346</f>
        <v>205.73</v>
      </c>
      <c r="E344" s="19">
        <f>Dados!H346</f>
        <v>125.91</v>
      </c>
      <c r="F344" s="20">
        <f t="shared" ref="F344:I344" si="342">STANDARDIZE(B344,$L$7,$L$8)</f>
        <v>0.584991274</v>
      </c>
      <c r="G344" s="20">
        <f t="shared" si="342"/>
        <v>7.283420593</v>
      </c>
      <c r="H344" s="20">
        <f t="shared" si="342"/>
        <v>5.869808028</v>
      </c>
      <c r="I344" s="20">
        <f t="shared" si="342"/>
        <v>3.083769634</v>
      </c>
    </row>
    <row r="345" ht="15.75" customHeight="1">
      <c r="A345" s="10">
        <f>Dados!A347</f>
        <v>44328.66667</v>
      </c>
      <c r="B345" s="19">
        <f>Dados!B347</f>
        <v>54.04</v>
      </c>
      <c r="C345" s="19">
        <f>Dados!D347</f>
        <v>239</v>
      </c>
      <c r="D345" s="19">
        <f>Dados!F347</f>
        <v>196.63</v>
      </c>
      <c r="E345" s="19">
        <f>Dados!H347</f>
        <v>122.77</v>
      </c>
      <c r="F345" s="20">
        <f t="shared" ref="F345:I345" si="343">STANDARDIZE(B345,$L$7,$L$8)</f>
        <v>0.5752181501</v>
      </c>
      <c r="G345" s="20">
        <f t="shared" si="343"/>
        <v>7.031064572</v>
      </c>
      <c r="H345" s="20">
        <f t="shared" si="343"/>
        <v>5.552181501</v>
      </c>
      <c r="I345" s="20">
        <f t="shared" si="343"/>
        <v>2.97417103</v>
      </c>
    </row>
    <row r="346" ht="15.75" customHeight="1">
      <c r="A346" s="10">
        <f>Dados!A348</f>
        <v>44329.66667</v>
      </c>
      <c r="B346" s="19">
        <f>Dados!B348</f>
        <v>54.51</v>
      </c>
      <c r="C346" s="19">
        <f>Dados!D348</f>
        <v>243.03</v>
      </c>
      <c r="D346" s="19">
        <f>Dados!F348</f>
        <v>190.56</v>
      </c>
      <c r="E346" s="19">
        <f>Dados!H348</f>
        <v>124.97</v>
      </c>
      <c r="F346" s="20">
        <f t="shared" ref="F346:I346" si="344">STANDARDIZE(B346,$L$7,$L$8)</f>
        <v>0.5916230366</v>
      </c>
      <c r="G346" s="20">
        <f t="shared" si="344"/>
        <v>7.171727749</v>
      </c>
      <c r="H346" s="20">
        <f t="shared" si="344"/>
        <v>5.340314136</v>
      </c>
      <c r="I346" s="20">
        <f t="shared" si="344"/>
        <v>3.05095986</v>
      </c>
    </row>
    <row r="347" ht="15.75" customHeight="1">
      <c r="A347" s="10">
        <f>Dados!A349</f>
        <v>44330.66667</v>
      </c>
      <c r="B347" s="19">
        <f>Dados!B349</f>
        <v>54.73</v>
      </c>
      <c r="C347" s="19">
        <f>Dados!D349</f>
        <v>248.15</v>
      </c>
      <c r="D347" s="19">
        <f>Dados!F349</f>
        <v>196.58</v>
      </c>
      <c r="E347" s="19">
        <f>Dados!H349</f>
        <v>127.45</v>
      </c>
      <c r="F347" s="20">
        <f t="shared" ref="F347:I347" si="345">STANDARDIZE(B347,$L$7,$L$8)</f>
        <v>0.5993019197</v>
      </c>
      <c r="G347" s="20">
        <f t="shared" si="345"/>
        <v>7.3504363</v>
      </c>
      <c r="H347" s="20">
        <f t="shared" si="345"/>
        <v>5.5504363</v>
      </c>
      <c r="I347" s="20">
        <f t="shared" si="345"/>
        <v>3.137521815</v>
      </c>
    </row>
    <row r="348" ht="15.75" customHeight="1">
      <c r="A348" s="10">
        <f>Dados!A350</f>
        <v>44333.66667</v>
      </c>
      <c r="B348" s="19">
        <f>Dados!B350</f>
        <v>54.64</v>
      </c>
      <c r="C348" s="19">
        <f>Dados!D350</f>
        <v>245.18</v>
      </c>
      <c r="D348" s="19">
        <f>Dados!F350</f>
        <v>192.28</v>
      </c>
      <c r="E348" s="19">
        <f>Dados!H350</f>
        <v>126.27</v>
      </c>
      <c r="F348" s="20">
        <f t="shared" ref="F348:I348" si="346">STANDARDIZE(B348,$L$7,$L$8)</f>
        <v>0.5961605585</v>
      </c>
      <c r="G348" s="20">
        <f t="shared" si="346"/>
        <v>7.246771379</v>
      </c>
      <c r="H348" s="20">
        <f t="shared" si="346"/>
        <v>5.40034904</v>
      </c>
      <c r="I348" s="20">
        <f t="shared" si="346"/>
        <v>3.096335079</v>
      </c>
    </row>
    <row r="349" ht="15.75" customHeight="1">
      <c r="A349" s="10">
        <f>Dados!A351</f>
        <v>44334.66667</v>
      </c>
      <c r="B349" s="19">
        <f>Dados!B351</f>
        <v>54.34</v>
      </c>
      <c r="C349" s="19">
        <f>Dados!D351</f>
        <v>243.08</v>
      </c>
      <c r="D349" s="19">
        <f>Dados!F351</f>
        <v>192.62</v>
      </c>
      <c r="E349" s="19">
        <f>Dados!H351</f>
        <v>124.85</v>
      </c>
      <c r="F349" s="20">
        <f t="shared" ref="F349:I349" si="347">STANDARDIZE(B349,$L$7,$L$8)</f>
        <v>0.5856893543</v>
      </c>
      <c r="G349" s="20">
        <f t="shared" si="347"/>
        <v>7.173472949</v>
      </c>
      <c r="H349" s="20">
        <f t="shared" si="347"/>
        <v>5.412216405</v>
      </c>
      <c r="I349" s="20">
        <f t="shared" si="347"/>
        <v>3.046771379</v>
      </c>
    </row>
    <row r="350" ht="15.75" customHeight="1">
      <c r="A350" s="10">
        <f>Dados!A352</f>
        <v>44335.66667</v>
      </c>
      <c r="B350" s="19">
        <f>Dados!B352</f>
        <v>54.17</v>
      </c>
      <c r="C350" s="19">
        <f>Dados!D352</f>
        <v>243.12</v>
      </c>
      <c r="D350" s="19">
        <f>Dados!F352</f>
        <v>187.82</v>
      </c>
      <c r="E350" s="19">
        <f>Dados!H352</f>
        <v>124.69</v>
      </c>
      <c r="F350" s="20">
        <f t="shared" ref="F350:I350" si="348">STANDARDIZE(B350,$L$7,$L$8)</f>
        <v>0.5797556719</v>
      </c>
      <c r="G350" s="20">
        <f t="shared" si="348"/>
        <v>7.17486911</v>
      </c>
      <c r="H350" s="20">
        <f t="shared" si="348"/>
        <v>5.244677138</v>
      </c>
      <c r="I350" s="20">
        <f t="shared" si="348"/>
        <v>3.041186736</v>
      </c>
    </row>
    <row r="351" ht="15.75" customHeight="1">
      <c r="A351" s="10">
        <f>Dados!A353</f>
        <v>44336.66667</v>
      </c>
      <c r="B351" s="19">
        <f>Dados!B353</f>
        <v>54.65</v>
      </c>
      <c r="C351" s="19">
        <f>Dados!D353</f>
        <v>246.48</v>
      </c>
      <c r="D351" s="19">
        <f>Dados!F353</f>
        <v>195.59</v>
      </c>
      <c r="E351" s="19">
        <f>Dados!H353</f>
        <v>127.31</v>
      </c>
      <c r="F351" s="20">
        <f t="shared" ref="F351:I351" si="349">STANDARDIZE(B351,$L$7,$L$8)</f>
        <v>0.5965095986</v>
      </c>
      <c r="G351" s="20">
        <f t="shared" si="349"/>
        <v>7.292146597</v>
      </c>
      <c r="H351" s="20">
        <f t="shared" si="349"/>
        <v>5.515881326</v>
      </c>
      <c r="I351" s="20">
        <f t="shared" si="349"/>
        <v>3.132635253</v>
      </c>
    </row>
    <row r="352" ht="15.75" customHeight="1">
      <c r="A352" s="10">
        <f>Dados!A354</f>
        <v>44337.66667</v>
      </c>
      <c r="B352" s="19">
        <f>Dados!B354</f>
        <v>54.62</v>
      </c>
      <c r="C352" s="19">
        <f>Dados!D354</f>
        <v>245.17</v>
      </c>
      <c r="D352" s="19">
        <f>Dados!F354</f>
        <v>193.63</v>
      </c>
      <c r="E352" s="19">
        <f>Dados!H354</f>
        <v>125.43</v>
      </c>
      <c r="F352" s="20">
        <f t="shared" ref="F352:I352" si="350">STANDARDIZE(B352,$L$7,$L$8)</f>
        <v>0.5954624782</v>
      </c>
      <c r="G352" s="20">
        <f t="shared" si="350"/>
        <v>7.246422339</v>
      </c>
      <c r="H352" s="20">
        <f t="shared" si="350"/>
        <v>5.447469459</v>
      </c>
      <c r="I352" s="20">
        <f t="shared" si="350"/>
        <v>3.067015707</v>
      </c>
    </row>
    <row r="353" ht="15.75" customHeight="1">
      <c r="A353" s="10">
        <f>Dados!A355</f>
        <v>44340.66667</v>
      </c>
      <c r="B353" s="19">
        <f>Dados!B355</f>
        <v>54.8</v>
      </c>
      <c r="C353" s="19">
        <f>Dados!D355</f>
        <v>250.78</v>
      </c>
      <c r="D353" s="19">
        <f>Dados!F355</f>
        <v>202.15</v>
      </c>
      <c r="E353" s="19">
        <f>Dados!H355</f>
        <v>127.1</v>
      </c>
      <c r="F353" s="20">
        <f t="shared" ref="F353:I353" si="351">STANDARDIZE(B353,$L$7,$L$8)</f>
        <v>0.6017452007</v>
      </c>
      <c r="G353" s="20">
        <f t="shared" si="351"/>
        <v>7.442233857</v>
      </c>
      <c r="H353" s="20">
        <f t="shared" si="351"/>
        <v>5.744851658</v>
      </c>
      <c r="I353" s="20">
        <f t="shared" si="351"/>
        <v>3.12530541</v>
      </c>
    </row>
    <row r="354" ht="15.75" customHeight="1">
      <c r="A354" s="10">
        <f>Dados!A356</f>
        <v>44341.66667</v>
      </c>
      <c r="B354" s="19">
        <f>Dados!B356</f>
        <v>54.79</v>
      </c>
      <c r="C354" s="19">
        <f>Dados!D356</f>
        <v>251.72</v>
      </c>
      <c r="D354" s="19">
        <f>Dados!F356</f>
        <v>201.56</v>
      </c>
      <c r="E354" s="19">
        <f>Dados!H356</f>
        <v>126.9</v>
      </c>
      <c r="F354" s="20">
        <f t="shared" ref="F354:I354" si="352">STANDARDIZE(B354,$L$7,$L$8)</f>
        <v>0.6013961606</v>
      </c>
      <c r="G354" s="20">
        <f t="shared" si="352"/>
        <v>7.47504363</v>
      </c>
      <c r="H354" s="20">
        <f t="shared" si="352"/>
        <v>5.72425829</v>
      </c>
      <c r="I354" s="20">
        <f t="shared" si="352"/>
        <v>3.118324607</v>
      </c>
    </row>
    <row r="355" ht="15.75" customHeight="1">
      <c r="A355" s="10">
        <f>Dados!A357</f>
        <v>44342.66667</v>
      </c>
      <c r="B355" s="19">
        <f>Dados!B357</f>
        <v>55.03</v>
      </c>
      <c r="C355" s="19">
        <f>Dados!D357</f>
        <v>251.49</v>
      </c>
      <c r="D355" s="19">
        <f>Dados!F357</f>
        <v>206.38</v>
      </c>
      <c r="E355" s="19">
        <f>Dados!H357</f>
        <v>126.85</v>
      </c>
      <c r="F355" s="20">
        <f t="shared" ref="F355:I355" si="353">STANDARDIZE(B355,$L$7,$L$8)</f>
        <v>0.6097731239</v>
      </c>
      <c r="G355" s="20">
        <f t="shared" si="353"/>
        <v>7.467015707</v>
      </c>
      <c r="H355" s="20">
        <f t="shared" si="353"/>
        <v>5.892495637</v>
      </c>
      <c r="I355" s="20">
        <f t="shared" si="353"/>
        <v>3.116579407</v>
      </c>
    </row>
    <row r="356" ht="15.75" customHeight="1">
      <c r="A356" s="10">
        <f>Dados!A358</f>
        <v>44343.66667</v>
      </c>
      <c r="B356" s="19">
        <f>Dados!B358</f>
        <v>55.49</v>
      </c>
      <c r="C356" s="19">
        <f>Dados!D358</f>
        <v>249.31</v>
      </c>
      <c r="D356" s="19">
        <f>Dados!F358</f>
        <v>210.28</v>
      </c>
      <c r="E356" s="19">
        <f>Dados!H358</f>
        <v>125.28</v>
      </c>
      <c r="F356" s="20">
        <f t="shared" ref="F356:I356" si="354">STANDARDIZE(B356,$L$7,$L$8)</f>
        <v>0.6258289703</v>
      </c>
      <c r="G356" s="20">
        <f t="shared" si="354"/>
        <v>7.390924956</v>
      </c>
      <c r="H356" s="20">
        <f t="shared" si="354"/>
        <v>6.028621291</v>
      </c>
      <c r="I356" s="20">
        <f t="shared" si="354"/>
        <v>3.061780105</v>
      </c>
    </row>
    <row r="357" ht="15.75" customHeight="1">
      <c r="A357" s="10">
        <f>Dados!A359</f>
        <v>44344.66667</v>
      </c>
      <c r="B357" s="19">
        <f>Dados!B359</f>
        <v>55.29</v>
      </c>
      <c r="C357" s="19">
        <f>Dados!D359</f>
        <v>249.68</v>
      </c>
      <c r="D357" s="19">
        <f>Dados!F359</f>
        <v>208.41</v>
      </c>
      <c r="E357" s="19">
        <f>Dados!H359</f>
        <v>124.61</v>
      </c>
      <c r="F357" s="20">
        <f t="shared" ref="F357:I357" si="355">STANDARDIZE(B357,$L$7,$L$8)</f>
        <v>0.6188481675</v>
      </c>
      <c r="G357" s="20">
        <f t="shared" si="355"/>
        <v>7.403839442</v>
      </c>
      <c r="H357" s="20">
        <f t="shared" si="355"/>
        <v>5.963350785</v>
      </c>
      <c r="I357" s="20">
        <f t="shared" si="355"/>
        <v>3.038394415</v>
      </c>
    </row>
    <row r="358" ht="15.75" customHeight="1">
      <c r="A358" s="10">
        <f>Dados!A360</f>
        <v>44348.66667</v>
      </c>
      <c r="B358" s="19">
        <f>Dados!B360</f>
        <v>55.28</v>
      </c>
      <c r="C358" s="19">
        <f>Dados!D360</f>
        <v>247.4</v>
      </c>
      <c r="D358" s="19">
        <f>Dados!F360</f>
        <v>207.97</v>
      </c>
      <c r="E358" s="19">
        <f>Dados!H360</f>
        <v>124.28</v>
      </c>
      <c r="F358" s="20">
        <f t="shared" ref="F358:I358" si="356">STANDARDIZE(B358,$L$7,$L$8)</f>
        <v>0.6184991274</v>
      </c>
      <c r="G358" s="20">
        <f t="shared" si="356"/>
        <v>7.32425829</v>
      </c>
      <c r="H358" s="20">
        <f t="shared" si="356"/>
        <v>5.947993019</v>
      </c>
      <c r="I358" s="20">
        <f t="shared" si="356"/>
        <v>3.026876091</v>
      </c>
    </row>
    <row r="359" ht="15.75" customHeight="1">
      <c r="A359" s="10">
        <f>Dados!A361</f>
        <v>44349.66667</v>
      </c>
      <c r="B359" s="19">
        <f>Dados!B361</f>
        <v>55.5</v>
      </c>
      <c r="C359" s="19">
        <f>Dados!D361</f>
        <v>247.3</v>
      </c>
      <c r="D359" s="19">
        <f>Dados!F361</f>
        <v>201.71</v>
      </c>
      <c r="E359" s="19">
        <f>Dados!H361</f>
        <v>125.06</v>
      </c>
      <c r="F359" s="20">
        <f t="shared" ref="F359:I359" si="357">STANDARDIZE(B359,$L$7,$L$8)</f>
        <v>0.6261780105</v>
      </c>
      <c r="G359" s="20">
        <f t="shared" si="357"/>
        <v>7.320767888</v>
      </c>
      <c r="H359" s="20">
        <f t="shared" si="357"/>
        <v>5.729493892</v>
      </c>
      <c r="I359" s="20">
        <f t="shared" si="357"/>
        <v>3.054101222</v>
      </c>
    </row>
    <row r="360" ht="15.75" customHeight="1">
      <c r="A360" s="10">
        <f>Dados!A362</f>
        <v>44350.66667</v>
      </c>
      <c r="B360" s="19">
        <f>Dados!B362</f>
        <v>55.64</v>
      </c>
      <c r="C360" s="19">
        <f>Dados!D362</f>
        <v>245.71</v>
      </c>
      <c r="D360" s="19">
        <f>Dados!F362</f>
        <v>190.95</v>
      </c>
      <c r="E360" s="19">
        <f>Dados!H362</f>
        <v>123.54</v>
      </c>
      <c r="F360" s="20">
        <f t="shared" ref="F360:I360" si="358">STANDARDIZE(B360,$L$7,$L$8)</f>
        <v>0.6310645724</v>
      </c>
      <c r="G360" s="20">
        <f t="shared" si="358"/>
        <v>7.265270506</v>
      </c>
      <c r="H360" s="20">
        <f t="shared" si="358"/>
        <v>5.353926702</v>
      </c>
      <c r="I360" s="20">
        <f t="shared" si="358"/>
        <v>3.00104712</v>
      </c>
    </row>
    <row r="361" ht="15.75" customHeight="1">
      <c r="A361" s="10">
        <f>Dados!A363</f>
        <v>44351.66667</v>
      </c>
      <c r="B361" s="19">
        <f>Dados!B363</f>
        <v>56.24</v>
      </c>
      <c r="C361" s="19">
        <f>Dados!D363</f>
        <v>250.79</v>
      </c>
      <c r="D361" s="19">
        <f>Dados!F363</f>
        <v>199.68</v>
      </c>
      <c r="E361" s="19">
        <f>Dados!H363</f>
        <v>125.89</v>
      </c>
      <c r="F361" s="20">
        <f t="shared" ref="F361:I361" si="359">STANDARDIZE(B361,$L$7,$L$8)</f>
        <v>0.6520069808</v>
      </c>
      <c r="G361" s="20">
        <f t="shared" si="359"/>
        <v>7.442582897</v>
      </c>
      <c r="H361" s="20">
        <f t="shared" si="359"/>
        <v>5.658638743</v>
      </c>
      <c r="I361" s="20">
        <f t="shared" si="359"/>
        <v>3.083071553</v>
      </c>
    </row>
    <row r="362" ht="15.75" customHeight="1">
      <c r="A362" s="10">
        <f>Dados!A364</f>
        <v>44354.66667</v>
      </c>
      <c r="B362" s="19">
        <f>Dados!B364</f>
        <v>56.04</v>
      </c>
      <c r="C362" s="19">
        <f>Dados!D364</f>
        <v>253.81</v>
      </c>
      <c r="D362" s="19">
        <f>Dados!F364</f>
        <v>201.71</v>
      </c>
      <c r="E362" s="19">
        <f>Dados!H364</f>
        <v>125.9</v>
      </c>
      <c r="F362" s="20">
        <f t="shared" ref="F362:I362" si="360">STANDARDIZE(B362,$L$7,$L$8)</f>
        <v>0.645026178</v>
      </c>
      <c r="G362" s="20">
        <f t="shared" si="360"/>
        <v>7.547993019</v>
      </c>
      <c r="H362" s="20">
        <f t="shared" si="360"/>
        <v>5.729493892</v>
      </c>
      <c r="I362" s="20">
        <f t="shared" si="360"/>
        <v>3.083420593</v>
      </c>
    </row>
    <row r="363" ht="15.75" customHeight="1">
      <c r="A363" s="10">
        <f>Dados!A365</f>
        <v>44355.66667</v>
      </c>
      <c r="B363" s="19">
        <f>Dados!B365</f>
        <v>55.65</v>
      </c>
      <c r="C363" s="19">
        <f>Dados!D365</f>
        <v>252.57</v>
      </c>
      <c r="D363" s="19">
        <f>Dados!F365</f>
        <v>201.2</v>
      </c>
      <c r="E363" s="19">
        <f>Dados!H365</f>
        <v>126.74</v>
      </c>
      <c r="F363" s="20">
        <f t="shared" ref="F363:I363" si="361">STANDARDIZE(B363,$L$7,$L$8)</f>
        <v>0.6314136126</v>
      </c>
      <c r="G363" s="20">
        <f t="shared" si="361"/>
        <v>7.504712042</v>
      </c>
      <c r="H363" s="20">
        <f t="shared" si="361"/>
        <v>5.711692845</v>
      </c>
      <c r="I363" s="20">
        <f t="shared" si="361"/>
        <v>3.112739965</v>
      </c>
    </row>
    <row r="364" ht="15.75" customHeight="1">
      <c r="A364" s="10">
        <f>Dados!A366</f>
        <v>44356.66667</v>
      </c>
      <c r="B364" s="19">
        <f>Dados!B366</f>
        <v>55.48</v>
      </c>
      <c r="C364" s="19">
        <f>Dados!D366</f>
        <v>253.59</v>
      </c>
      <c r="D364" s="19">
        <f>Dados!F366</f>
        <v>199.59</v>
      </c>
      <c r="E364" s="19">
        <f>Dados!H366</f>
        <v>127.13</v>
      </c>
      <c r="F364" s="20">
        <f t="shared" ref="F364:I364" si="362">STANDARDIZE(B364,$L$7,$L$8)</f>
        <v>0.6254799302</v>
      </c>
      <c r="G364" s="20">
        <f t="shared" si="362"/>
        <v>7.540314136</v>
      </c>
      <c r="H364" s="20">
        <f t="shared" si="362"/>
        <v>5.655497382</v>
      </c>
      <c r="I364" s="20">
        <f t="shared" si="362"/>
        <v>3.126352531</v>
      </c>
    </row>
    <row r="365" ht="15.75" customHeight="1">
      <c r="A365" s="10">
        <f>Dados!A367</f>
        <v>44357.66667</v>
      </c>
      <c r="B365" s="19">
        <f>Dados!B367</f>
        <v>55.91</v>
      </c>
      <c r="C365" s="19">
        <f>Dados!D367</f>
        <v>257.24</v>
      </c>
      <c r="D365" s="19">
        <f>Dados!F367</f>
        <v>203.37</v>
      </c>
      <c r="E365" s="19">
        <f>Dados!H367</f>
        <v>126.11</v>
      </c>
      <c r="F365" s="20">
        <f t="shared" ref="F365:I365" si="363">STANDARDIZE(B365,$L$7,$L$8)</f>
        <v>0.6404886562</v>
      </c>
      <c r="G365" s="20">
        <f t="shared" si="363"/>
        <v>7.667713787</v>
      </c>
      <c r="H365" s="20">
        <f t="shared" si="363"/>
        <v>5.787434555</v>
      </c>
      <c r="I365" s="20">
        <f t="shared" si="363"/>
        <v>3.090750436</v>
      </c>
    </row>
    <row r="366" ht="15.75" customHeight="1">
      <c r="A366" s="10">
        <f>Dados!A368</f>
        <v>44358.66667</v>
      </c>
      <c r="B366" s="19">
        <f>Dados!B368</f>
        <v>56.16</v>
      </c>
      <c r="C366" s="19">
        <f>Dados!D368</f>
        <v>257.89</v>
      </c>
      <c r="D366" s="19">
        <f>Dados!F368</f>
        <v>203.3</v>
      </c>
      <c r="E366" s="19">
        <f>Dados!H368</f>
        <v>127.35</v>
      </c>
      <c r="F366" s="20">
        <f t="shared" ref="F366:I366" si="364">STANDARDIZE(B366,$L$7,$L$8)</f>
        <v>0.6492146597</v>
      </c>
      <c r="G366" s="20">
        <f t="shared" si="364"/>
        <v>7.690401396</v>
      </c>
      <c r="H366" s="20">
        <f t="shared" si="364"/>
        <v>5.784991274</v>
      </c>
      <c r="I366" s="20">
        <f t="shared" si="364"/>
        <v>3.134031414</v>
      </c>
    </row>
    <row r="367" ht="15.75" customHeight="1">
      <c r="A367" s="10">
        <f>Dados!A369</f>
        <v>44361.66667</v>
      </c>
      <c r="B367" s="19">
        <f>Dados!B369</f>
        <v>55.55</v>
      </c>
      <c r="C367" s="19">
        <f>Dados!D369</f>
        <v>259.89</v>
      </c>
      <c r="D367" s="19">
        <f>Dados!F369</f>
        <v>205.9</v>
      </c>
      <c r="E367" s="19">
        <f>Dados!H369</f>
        <v>130.48</v>
      </c>
      <c r="F367" s="20">
        <f t="shared" ref="F367:I367" si="365">STANDARDIZE(B367,$L$7,$L$8)</f>
        <v>0.6279232112</v>
      </c>
      <c r="G367" s="20">
        <f t="shared" si="365"/>
        <v>7.760209424</v>
      </c>
      <c r="H367" s="20">
        <f t="shared" si="365"/>
        <v>5.87574171</v>
      </c>
      <c r="I367" s="20">
        <f t="shared" si="365"/>
        <v>3.243280977</v>
      </c>
    </row>
    <row r="368" ht="15.75" customHeight="1">
      <c r="A368" s="10">
        <f>Dados!A370</f>
        <v>44362.66667</v>
      </c>
      <c r="B368" s="19">
        <f>Dados!B370</f>
        <v>55.41</v>
      </c>
      <c r="C368" s="19">
        <f>Dados!D370</f>
        <v>258.36</v>
      </c>
      <c r="D368" s="19">
        <f>Dados!F370</f>
        <v>199.79</v>
      </c>
      <c r="E368" s="19">
        <f>Dados!H370</f>
        <v>129.64</v>
      </c>
      <c r="F368" s="20">
        <f t="shared" ref="F368:I368" si="366">STANDARDIZE(B368,$L$7,$L$8)</f>
        <v>0.6230366492</v>
      </c>
      <c r="G368" s="20">
        <f t="shared" si="366"/>
        <v>7.706806283</v>
      </c>
      <c r="H368" s="20">
        <f t="shared" si="366"/>
        <v>5.662478185</v>
      </c>
      <c r="I368" s="20">
        <f t="shared" si="366"/>
        <v>3.213961606</v>
      </c>
    </row>
    <row r="369" ht="15.75" customHeight="1">
      <c r="A369" s="10">
        <f>Dados!A371</f>
        <v>44363.66667</v>
      </c>
      <c r="B369" s="19">
        <f>Dados!B371</f>
        <v>54.67</v>
      </c>
      <c r="C369" s="19">
        <f>Dados!D371</f>
        <v>257.38</v>
      </c>
      <c r="D369" s="19">
        <f>Dados!F371</f>
        <v>201.62</v>
      </c>
      <c r="E369" s="19">
        <f>Dados!H371</f>
        <v>130.15</v>
      </c>
      <c r="F369" s="20">
        <f t="shared" ref="F369:I369" si="367">STANDARDIZE(B369,$L$7,$L$8)</f>
        <v>0.5972076789</v>
      </c>
      <c r="G369" s="20">
        <f t="shared" si="367"/>
        <v>7.672600349</v>
      </c>
      <c r="H369" s="20">
        <f t="shared" si="367"/>
        <v>5.726352531</v>
      </c>
      <c r="I369" s="20">
        <f t="shared" si="367"/>
        <v>3.231762653</v>
      </c>
    </row>
    <row r="370" ht="15.75" customHeight="1">
      <c r="A370" s="10">
        <f>Dados!A372</f>
        <v>44364.66667</v>
      </c>
      <c r="B370" s="19">
        <f>Dados!B372</f>
        <v>54.95</v>
      </c>
      <c r="C370" s="19">
        <f>Dados!D372</f>
        <v>260.9</v>
      </c>
      <c r="D370" s="19">
        <f>Dados!F372</f>
        <v>205.53</v>
      </c>
      <c r="E370" s="19">
        <f>Dados!H372</f>
        <v>131.79</v>
      </c>
      <c r="F370" s="20">
        <f t="shared" ref="F370:I370" si="368">STANDARDIZE(B370,$L$7,$L$8)</f>
        <v>0.6069808028</v>
      </c>
      <c r="G370" s="20">
        <f t="shared" si="368"/>
        <v>7.795462478</v>
      </c>
      <c r="H370" s="20">
        <f t="shared" si="368"/>
        <v>5.862827225</v>
      </c>
      <c r="I370" s="20">
        <f t="shared" si="368"/>
        <v>3.289005236</v>
      </c>
    </row>
    <row r="371" ht="15.75" customHeight="1">
      <c r="A371" s="10">
        <f>Dados!A373</f>
        <v>44365.66667</v>
      </c>
      <c r="B371" s="19">
        <f>Dados!B373</f>
        <v>53.77</v>
      </c>
      <c r="C371" s="19">
        <f>Dados!D373</f>
        <v>259.43</v>
      </c>
      <c r="D371" s="19">
        <f>Dados!F373</f>
        <v>207.77</v>
      </c>
      <c r="E371" s="19">
        <f>Dados!H373</f>
        <v>130.46</v>
      </c>
      <c r="F371" s="20">
        <f t="shared" ref="F371:I371" si="369">STANDARDIZE(B371,$L$7,$L$8)</f>
        <v>0.5657940663</v>
      </c>
      <c r="G371" s="20">
        <f t="shared" si="369"/>
        <v>7.744153578</v>
      </c>
      <c r="H371" s="20">
        <f t="shared" si="369"/>
        <v>5.941012216</v>
      </c>
      <c r="I371" s="20">
        <f t="shared" si="369"/>
        <v>3.242582897</v>
      </c>
    </row>
    <row r="372" ht="15.75" customHeight="1">
      <c r="A372" s="10">
        <f>Dados!A374</f>
        <v>44368.66667</v>
      </c>
      <c r="B372" s="19">
        <f>Dados!B374</f>
        <v>54.36</v>
      </c>
      <c r="C372" s="19">
        <f>Dados!D374</f>
        <v>262.63</v>
      </c>
      <c r="D372" s="19">
        <f>Dados!F374</f>
        <v>206.94</v>
      </c>
      <c r="E372" s="19">
        <f>Dados!H374</f>
        <v>132.3</v>
      </c>
      <c r="F372" s="20">
        <f t="shared" ref="F372:I372" si="370">STANDARDIZE(B372,$L$7,$L$8)</f>
        <v>0.5863874346</v>
      </c>
      <c r="G372" s="20">
        <f t="shared" si="370"/>
        <v>7.855846422</v>
      </c>
      <c r="H372" s="20">
        <f t="shared" si="370"/>
        <v>5.912041885</v>
      </c>
      <c r="I372" s="20">
        <f t="shared" si="370"/>
        <v>3.306806283</v>
      </c>
    </row>
    <row r="373" ht="15.75" customHeight="1">
      <c r="A373" s="10">
        <f>Dados!A375</f>
        <v>44369.66667</v>
      </c>
      <c r="B373" s="19">
        <f>Dados!B375</f>
        <v>54.56</v>
      </c>
      <c r="C373" s="19">
        <f>Dados!D375</f>
        <v>265.51</v>
      </c>
      <c r="D373" s="19">
        <f>Dados!F375</f>
        <v>207.9</v>
      </c>
      <c r="E373" s="19">
        <f>Dados!H375</f>
        <v>133.98</v>
      </c>
      <c r="F373" s="20">
        <f t="shared" ref="F373:I373" si="371">STANDARDIZE(B373,$L$7,$L$8)</f>
        <v>0.5933682373</v>
      </c>
      <c r="G373" s="20">
        <f t="shared" si="371"/>
        <v>7.956369983</v>
      </c>
      <c r="H373" s="20">
        <f t="shared" si="371"/>
        <v>5.945549738</v>
      </c>
      <c r="I373" s="20">
        <f t="shared" si="371"/>
        <v>3.365445026</v>
      </c>
    </row>
    <row r="374" ht="15.75" customHeight="1">
      <c r="A374" s="10">
        <f>Dados!A376</f>
        <v>44370.66667</v>
      </c>
      <c r="B374" s="19">
        <f>Dados!B376</f>
        <v>54.12</v>
      </c>
      <c r="C374" s="19">
        <f>Dados!D376</f>
        <v>265.27</v>
      </c>
      <c r="D374" s="19">
        <f>Dados!F376</f>
        <v>218.86</v>
      </c>
      <c r="E374" s="19">
        <f>Dados!H376</f>
        <v>133.7</v>
      </c>
      <c r="F374" s="20">
        <f t="shared" ref="F374:I374" si="372">STANDARDIZE(B374,$L$7,$L$8)</f>
        <v>0.5780104712</v>
      </c>
      <c r="G374" s="20">
        <f t="shared" si="372"/>
        <v>7.947993019</v>
      </c>
      <c r="H374" s="20">
        <f t="shared" si="372"/>
        <v>6.328097731</v>
      </c>
      <c r="I374" s="20">
        <f t="shared" si="372"/>
        <v>3.355671902</v>
      </c>
    </row>
    <row r="375" ht="15.75" customHeight="1">
      <c r="A375" s="10">
        <f>Dados!A377</f>
        <v>44371.66667</v>
      </c>
      <c r="B375" s="19">
        <f>Dados!B377</f>
        <v>54.39</v>
      </c>
      <c r="C375" s="19">
        <f>Dados!D377</f>
        <v>266.69</v>
      </c>
      <c r="D375" s="19">
        <f>Dados!F377</f>
        <v>226.61</v>
      </c>
      <c r="E375" s="19">
        <f>Dados!H377</f>
        <v>133.41</v>
      </c>
      <c r="F375" s="20">
        <f t="shared" ref="F375:I375" si="373">STANDARDIZE(B375,$L$7,$L$8)</f>
        <v>0.587434555</v>
      </c>
      <c r="G375" s="20">
        <f t="shared" si="373"/>
        <v>7.997556719</v>
      </c>
      <c r="H375" s="20">
        <f t="shared" si="373"/>
        <v>6.598603839</v>
      </c>
      <c r="I375" s="20">
        <f t="shared" si="373"/>
        <v>3.345549738</v>
      </c>
    </row>
    <row r="376" ht="15.75" customHeight="1">
      <c r="A376" s="10">
        <f>Dados!A378</f>
        <v>44372.66667</v>
      </c>
      <c r="B376" s="19">
        <f>Dados!B378</f>
        <v>54.32</v>
      </c>
      <c r="C376" s="19">
        <f>Dados!D378</f>
        <v>265.02</v>
      </c>
      <c r="D376" s="19">
        <f>Dados!F378</f>
        <v>223.96</v>
      </c>
      <c r="E376" s="19">
        <f>Dados!H378</f>
        <v>133.11</v>
      </c>
      <c r="F376" s="20">
        <f t="shared" ref="F376:I376" si="374">STANDARDIZE(B376,$L$7,$L$8)</f>
        <v>0.584991274</v>
      </c>
      <c r="G376" s="20">
        <f t="shared" si="374"/>
        <v>7.939267016</v>
      </c>
      <c r="H376" s="20">
        <f t="shared" si="374"/>
        <v>6.506108202</v>
      </c>
      <c r="I376" s="20">
        <f t="shared" si="374"/>
        <v>3.335078534</v>
      </c>
    </row>
    <row r="377" ht="15.75" customHeight="1">
      <c r="A377" s="10">
        <f>Dados!A379</f>
        <v>44375.66667</v>
      </c>
      <c r="B377" s="19">
        <f>Dados!B379</f>
        <v>54.26</v>
      </c>
      <c r="C377" s="19">
        <f>Dados!D379</f>
        <v>268.72</v>
      </c>
      <c r="D377" s="19">
        <f>Dados!F379</f>
        <v>229.57</v>
      </c>
      <c r="E377" s="19">
        <f>Dados!H379</f>
        <v>134.78</v>
      </c>
      <c r="F377" s="20">
        <f t="shared" ref="F377:I377" si="375">STANDARDIZE(B377,$L$7,$L$8)</f>
        <v>0.5828970332</v>
      </c>
      <c r="G377" s="20">
        <f t="shared" si="375"/>
        <v>8.068411867</v>
      </c>
      <c r="H377" s="20">
        <f t="shared" si="375"/>
        <v>6.701919721</v>
      </c>
      <c r="I377" s="20">
        <f t="shared" si="375"/>
        <v>3.393368237</v>
      </c>
    </row>
    <row r="378" ht="15.75" customHeight="1">
      <c r="A378" s="10">
        <f>Dados!A380</f>
        <v>44376.66667</v>
      </c>
      <c r="B378" s="19">
        <f>Dados!B380</f>
        <v>53.86</v>
      </c>
      <c r="C378" s="19">
        <f>Dados!D380</f>
        <v>271.4</v>
      </c>
      <c r="D378" s="19">
        <f>Dados!F380</f>
        <v>226.92</v>
      </c>
      <c r="E378" s="19">
        <f>Dados!H380</f>
        <v>136.33</v>
      </c>
      <c r="F378" s="20">
        <f t="shared" ref="F378:I378" si="376">STANDARDIZE(B378,$L$7,$L$8)</f>
        <v>0.5689354276</v>
      </c>
      <c r="G378" s="20">
        <f t="shared" si="376"/>
        <v>8.161954625</v>
      </c>
      <c r="H378" s="20">
        <f t="shared" si="376"/>
        <v>6.609424084</v>
      </c>
      <c r="I378" s="20">
        <f t="shared" si="376"/>
        <v>3.447469459</v>
      </c>
    </row>
    <row r="379" ht="15.75" customHeight="1">
      <c r="A379" s="10">
        <f>Dados!A381</f>
        <v>44377.66667</v>
      </c>
      <c r="B379" s="19">
        <f>Dados!B381</f>
        <v>54.11</v>
      </c>
      <c r="C379" s="19">
        <f>Dados!D381</f>
        <v>270.9</v>
      </c>
      <c r="D379" s="19">
        <f>Dados!F381</f>
        <v>226.57</v>
      </c>
      <c r="E379" s="19">
        <f>Dados!H381</f>
        <v>136.96</v>
      </c>
      <c r="F379" s="20">
        <f t="shared" ref="F379:I379" si="377">STANDARDIZE(B379,$L$7,$L$8)</f>
        <v>0.5776614311</v>
      </c>
      <c r="G379" s="20">
        <f t="shared" si="377"/>
        <v>8.144502618</v>
      </c>
      <c r="H379" s="20">
        <f t="shared" si="377"/>
        <v>6.597207679</v>
      </c>
      <c r="I379" s="20">
        <f t="shared" si="377"/>
        <v>3.469458988</v>
      </c>
    </row>
    <row r="380" ht="15.75" customHeight="1">
      <c r="A380" s="10">
        <f>Dados!A382</f>
        <v>44378.66667</v>
      </c>
      <c r="B380" s="19">
        <f>Dados!B382</f>
        <v>53.96</v>
      </c>
      <c r="C380" s="19">
        <f>Dados!D382</f>
        <v>271.6</v>
      </c>
      <c r="D380" s="19">
        <f>Dados!F382</f>
        <v>225.97</v>
      </c>
      <c r="E380" s="19">
        <f>Dados!H382</f>
        <v>137.27</v>
      </c>
      <c r="F380" s="20">
        <f t="shared" ref="F380:I380" si="378">STANDARDIZE(B380,$L$7,$L$8)</f>
        <v>0.572425829</v>
      </c>
      <c r="G380" s="20">
        <f t="shared" si="378"/>
        <v>8.168935428</v>
      </c>
      <c r="H380" s="20">
        <f t="shared" si="378"/>
        <v>6.576265271</v>
      </c>
      <c r="I380" s="20">
        <f t="shared" si="378"/>
        <v>3.480279232</v>
      </c>
    </row>
    <row r="381" ht="15.75" customHeight="1">
      <c r="A381" s="10">
        <f>Dados!A383</f>
        <v>44379.66667</v>
      </c>
      <c r="B381" s="19">
        <f>Dados!B383</f>
        <v>54.18</v>
      </c>
      <c r="C381" s="19">
        <f>Dados!D383</f>
        <v>277.65</v>
      </c>
      <c r="D381" s="19">
        <f>Dados!F383</f>
        <v>226.3</v>
      </c>
      <c r="E381" s="19">
        <f>Dados!H383</f>
        <v>139.96</v>
      </c>
      <c r="F381" s="20">
        <f t="shared" ref="F381:I381" si="379">STANDARDIZE(B381,$L$7,$L$8)</f>
        <v>0.580104712</v>
      </c>
      <c r="G381" s="20">
        <f t="shared" si="379"/>
        <v>8.380104712</v>
      </c>
      <c r="H381" s="20">
        <f t="shared" si="379"/>
        <v>6.587783595</v>
      </c>
      <c r="I381" s="20">
        <f t="shared" si="379"/>
        <v>3.57417103</v>
      </c>
    </row>
    <row r="382" ht="15.75" customHeight="1">
      <c r="A382" s="10">
        <f>Dados!A384</f>
        <v>44383.66667</v>
      </c>
      <c r="B382" s="19">
        <f>Dados!B384</f>
        <v>53.88</v>
      </c>
      <c r="C382" s="19">
        <f>Dados!D384</f>
        <v>277.66</v>
      </c>
      <c r="D382" s="19">
        <f>Dados!F384</f>
        <v>219.86</v>
      </c>
      <c r="E382" s="19">
        <f>Dados!H384</f>
        <v>142.02</v>
      </c>
      <c r="F382" s="20">
        <f t="shared" ref="F382:I382" si="380">STANDARDIZE(B382,$L$7,$L$8)</f>
        <v>0.5696335079</v>
      </c>
      <c r="G382" s="20">
        <f t="shared" si="380"/>
        <v>8.380453752</v>
      </c>
      <c r="H382" s="20">
        <f t="shared" si="380"/>
        <v>6.363001745</v>
      </c>
      <c r="I382" s="20">
        <f t="shared" si="380"/>
        <v>3.646073298</v>
      </c>
    </row>
    <row r="383" ht="15.75" customHeight="1">
      <c r="A383" s="10">
        <f>Dados!A385</f>
        <v>44384.66667</v>
      </c>
      <c r="B383" s="19">
        <f>Dados!B385</f>
        <v>54.32</v>
      </c>
      <c r="C383" s="19">
        <f>Dados!D385</f>
        <v>279.93</v>
      </c>
      <c r="D383" s="19">
        <f>Dados!F385</f>
        <v>214.88</v>
      </c>
      <c r="E383" s="19">
        <f>Dados!H385</f>
        <v>144.57</v>
      </c>
      <c r="F383" s="20">
        <f t="shared" ref="F383:I383" si="381">STANDARDIZE(B383,$L$7,$L$8)</f>
        <v>0.584991274</v>
      </c>
      <c r="G383" s="20">
        <f t="shared" si="381"/>
        <v>8.459685864</v>
      </c>
      <c r="H383" s="20">
        <f t="shared" si="381"/>
        <v>6.189179756</v>
      </c>
      <c r="I383" s="20">
        <f t="shared" si="381"/>
        <v>3.735078534</v>
      </c>
    </row>
    <row r="384" ht="15.75" customHeight="1">
      <c r="A384" s="10">
        <f>Dados!A386</f>
        <v>44385.66667</v>
      </c>
      <c r="B384" s="19">
        <f>Dados!B386</f>
        <v>54.13</v>
      </c>
      <c r="C384" s="19">
        <f>Dados!D386</f>
        <v>277.42</v>
      </c>
      <c r="D384" s="19">
        <f>Dados!F386</f>
        <v>217.6</v>
      </c>
      <c r="E384" s="19">
        <f>Dados!H386</f>
        <v>143.24</v>
      </c>
      <c r="F384" s="20">
        <f t="shared" ref="F384:I384" si="382">STANDARDIZE(B384,$L$7,$L$8)</f>
        <v>0.5783595113</v>
      </c>
      <c r="G384" s="20">
        <f t="shared" si="382"/>
        <v>8.372076789</v>
      </c>
      <c r="H384" s="20">
        <f t="shared" si="382"/>
        <v>6.284118674</v>
      </c>
      <c r="I384" s="20">
        <f t="shared" si="382"/>
        <v>3.688656195</v>
      </c>
    </row>
    <row r="385" ht="15.75" customHeight="1">
      <c r="A385" s="10">
        <f>Dados!A387</f>
        <v>44386.66667</v>
      </c>
      <c r="B385" s="19">
        <f>Dados!B387</f>
        <v>54.46</v>
      </c>
      <c r="C385" s="19">
        <f>Dados!D387</f>
        <v>277.94</v>
      </c>
      <c r="D385" s="19">
        <f>Dados!F387</f>
        <v>218.98</v>
      </c>
      <c r="E385" s="19">
        <f>Dados!H387</f>
        <v>145.11</v>
      </c>
      <c r="F385" s="20">
        <f t="shared" ref="F385:I385" si="383">STANDARDIZE(B385,$L$7,$L$8)</f>
        <v>0.589877836</v>
      </c>
      <c r="G385" s="20">
        <f t="shared" si="383"/>
        <v>8.390226876</v>
      </c>
      <c r="H385" s="20">
        <f t="shared" si="383"/>
        <v>6.332286213</v>
      </c>
      <c r="I385" s="20">
        <f t="shared" si="383"/>
        <v>3.753926702</v>
      </c>
    </row>
    <row r="386" ht="15.75" customHeight="1">
      <c r="A386" s="10">
        <f>Dados!A388</f>
        <v>44389.66667</v>
      </c>
      <c r="B386" s="19">
        <f>Dados!B388</f>
        <v>54.48</v>
      </c>
      <c r="C386" s="19">
        <f>Dados!D388</f>
        <v>277.32</v>
      </c>
      <c r="D386" s="19">
        <f>Dados!F388</f>
        <v>228.57</v>
      </c>
      <c r="E386" s="19">
        <f>Dados!H388</f>
        <v>144.5</v>
      </c>
      <c r="F386" s="20">
        <f t="shared" ref="F386:I386" si="384">STANDARDIZE(B386,$L$7,$L$8)</f>
        <v>0.5905759162</v>
      </c>
      <c r="G386" s="20">
        <f t="shared" si="384"/>
        <v>8.368586387</v>
      </c>
      <c r="H386" s="20">
        <f t="shared" si="384"/>
        <v>6.667015707</v>
      </c>
      <c r="I386" s="20">
        <f t="shared" si="384"/>
        <v>3.732635253</v>
      </c>
    </row>
    <row r="387" ht="15.75" customHeight="1">
      <c r="A387" s="10">
        <f>Dados!A389</f>
        <v>44390.66667</v>
      </c>
      <c r="B387" s="19">
        <f>Dados!B389</f>
        <v>55.02</v>
      </c>
      <c r="C387" s="19">
        <f>Dados!D389</f>
        <v>280.98</v>
      </c>
      <c r="D387" s="19">
        <f>Dados!F389</f>
        <v>222.85</v>
      </c>
      <c r="E387" s="19">
        <f>Dados!H389</f>
        <v>145.64</v>
      </c>
      <c r="F387" s="20">
        <f t="shared" ref="F387:I387" si="385">STANDARDIZE(B387,$L$7,$L$8)</f>
        <v>0.6094240838</v>
      </c>
      <c r="G387" s="20">
        <f t="shared" si="385"/>
        <v>8.496335079</v>
      </c>
      <c r="H387" s="20">
        <f t="shared" si="385"/>
        <v>6.467364747</v>
      </c>
      <c r="I387" s="20">
        <f t="shared" si="385"/>
        <v>3.772425829</v>
      </c>
    </row>
    <row r="388" ht="15.75" customHeight="1">
      <c r="A388" s="10">
        <f>Dados!A390</f>
        <v>44391.66667</v>
      </c>
      <c r="B388" s="19">
        <f>Dados!B390</f>
        <v>56.26</v>
      </c>
      <c r="C388" s="19">
        <f>Dados!D390</f>
        <v>282.51</v>
      </c>
      <c r="D388" s="19">
        <f>Dados!F390</f>
        <v>217.79</v>
      </c>
      <c r="E388" s="19">
        <f>Dados!H390</f>
        <v>149.15</v>
      </c>
      <c r="F388" s="20">
        <f t="shared" ref="F388:I388" si="386">STANDARDIZE(B388,$L$7,$L$8)</f>
        <v>0.6527050611</v>
      </c>
      <c r="G388" s="20">
        <f t="shared" si="386"/>
        <v>8.54973822</v>
      </c>
      <c r="H388" s="20">
        <f t="shared" si="386"/>
        <v>6.290750436</v>
      </c>
      <c r="I388" s="20">
        <f t="shared" si="386"/>
        <v>3.894938918</v>
      </c>
    </row>
    <row r="389" ht="15.75" customHeight="1">
      <c r="A389" s="10">
        <f>Dados!A391</f>
        <v>44392.66667</v>
      </c>
      <c r="B389" s="19">
        <f>Dados!B391</f>
        <v>56.44</v>
      </c>
      <c r="C389" s="19">
        <f>Dados!D391</f>
        <v>281.03</v>
      </c>
      <c r="D389" s="19">
        <f>Dados!F391</f>
        <v>216.87</v>
      </c>
      <c r="E389" s="19">
        <f>Dados!H391</f>
        <v>148.48</v>
      </c>
      <c r="F389" s="20">
        <f t="shared" ref="F389:I389" si="387">STANDARDIZE(B389,$L$7,$L$8)</f>
        <v>0.6589877836</v>
      </c>
      <c r="G389" s="20">
        <f t="shared" si="387"/>
        <v>8.498080279</v>
      </c>
      <c r="H389" s="20">
        <f t="shared" si="387"/>
        <v>6.258638743</v>
      </c>
      <c r="I389" s="20">
        <f t="shared" si="387"/>
        <v>3.871553229</v>
      </c>
    </row>
    <row r="390" ht="15.75" customHeight="1">
      <c r="A390" s="10">
        <f>Dados!A392</f>
        <v>44393.66667</v>
      </c>
      <c r="B390" s="19">
        <f>Dados!B392</f>
        <v>56.4</v>
      </c>
      <c r="C390" s="19">
        <f>Dados!D392</f>
        <v>280.75</v>
      </c>
      <c r="D390" s="19">
        <f>Dados!F392</f>
        <v>214.74</v>
      </c>
      <c r="E390" s="19">
        <f>Dados!H392</f>
        <v>146.39</v>
      </c>
      <c r="F390" s="20">
        <f t="shared" ref="F390:I390" si="388">STANDARDIZE(B390,$L$7,$L$8)</f>
        <v>0.657591623</v>
      </c>
      <c r="G390" s="20">
        <f t="shared" si="388"/>
        <v>8.488307155</v>
      </c>
      <c r="H390" s="20">
        <f t="shared" si="388"/>
        <v>6.184293194</v>
      </c>
      <c r="I390" s="20">
        <f t="shared" si="388"/>
        <v>3.798603839</v>
      </c>
    </row>
    <row r="391" ht="15.75" customHeight="1">
      <c r="A391" s="10">
        <f>Dados!A393</f>
        <v>44396.66667</v>
      </c>
      <c r="B391" s="19">
        <f>Dados!B393</f>
        <v>55.73</v>
      </c>
      <c r="C391" s="19">
        <f>Dados!D393</f>
        <v>277.01</v>
      </c>
      <c r="D391" s="19">
        <f>Dados!F393</f>
        <v>215.41</v>
      </c>
      <c r="E391" s="19">
        <f>Dados!H393</f>
        <v>142.45</v>
      </c>
      <c r="F391" s="20">
        <f t="shared" ref="F391:I391" si="389">STANDARDIZE(B391,$L$7,$L$8)</f>
        <v>0.6342059337</v>
      </c>
      <c r="G391" s="20">
        <f t="shared" si="389"/>
        <v>8.357766143</v>
      </c>
      <c r="H391" s="20">
        <f t="shared" si="389"/>
        <v>6.207678883</v>
      </c>
      <c r="I391" s="20">
        <f t="shared" si="389"/>
        <v>3.661082024</v>
      </c>
    </row>
    <row r="392" ht="15.75" customHeight="1">
      <c r="A392" s="10">
        <f>Dados!A394</f>
        <v>44397.66667</v>
      </c>
      <c r="B392" s="19">
        <f>Dados!B394</f>
        <v>55.83</v>
      </c>
      <c r="C392" s="19">
        <f>Dados!D394</f>
        <v>279.32</v>
      </c>
      <c r="D392" s="19">
        <f>Dados!F394</f>
        <v>220.17</v>
      </c>
      <c r="E392" s="19">
        <f>Dados!H394</f>
        <v>146.15</v>
      </c>
      <c r="F392" s="20">
        <f t="shared" ref="F392:I392" si="390">STANDARDIZE(B392,$L$7,$L$8)</f>
        <v>0.6376963351</v>
      </c>
      <c r="G392" s="20">
        <f t="shared" si="390"/>
        <v>8.438394415</v>
      </c>
      <c r="H392" s="20">
        <f t="shared" si="390"/>
        <v>6.37382199</v>
      </c>
      <c r="I392" s="20">
        <f t="shared" si="390"/>
        <v>3.790226876</v>
      </c>
    </row>
    <row r="393" ht="15.75" customHeight="1">
      <c r="A393" s="10">
        <f>Dados!A395</f>
        <v>44398.66667</v>
      </c>
      <c r="B393" s="19">
        <f>Dados!B395</f>
        <v>56.55</v>
      </c>
      <c r="C393" s="19">
        <f>Dados!D395</f>
        <v>281.4</v>
      </c>
      <c r="D393" s="19">
        <f>Dados!F395</f>
        <v>218.43</v>
      </c>
      <c r="E393" s="19">
        <f>Dados!H395</f>
        <v>145.4</v>
      </c>
      <c r="F393" s="20">
        <f t="shared" ref="F393:I393" si="391">STANDARDIZE(B393,$L$7,$L$8)</f>
        <v>0.6628272251</v>
      </c>
      <c r="G393" s="20">
        <f t="shared" si="391"/>
        <v>8.510994764</v>
      </c>
      <c r="H393" s="20">
        <f t="shared" si="391"/>
        <v>6.313089005</v>
      </c>
      <c r="I393" s="20">
        <f t="shared" si="391"/>
        <v>3.764048866</v>
      </c>
    </row>
    <row r="394" ht="15.75" customHeight="1">
      <c r="A394" s="10">
        <f>Dados!A396</f>
        <v>44399.66667</v>
      </c>
      <c r="B394" s="19">
        <f>Dados!B396</f>
        <v>56.47</v>
      </c>
      <c r="C394" s="19">
        <f>Dados!D396</f>
        <v>286.14</v>
      </c>
      <c r="D394" s="19">
        <f>Dados!F396</f>
        <v>216.42</v>
      </c>
      <c r="E394" s="19">
        <f>Dados!H396</f>
        <v>146.8</v>
      </c>
      <c r="F394" s="20">
        <f t="shared" ref="F394:I394" si="392">STANDARDIZE(B394,$L$7,$L$8)</f>
        <v>0.660034904</v>
      </c>
      <c r="G394" s="20">
        <f t="shared" si="392"/>
        <v>8.676439791</v>
      </c>
      <c r="H394" s="20">
        <f t="shared" si="392"/>
        <v>6.242931937</v>
      </c>
      <c r="I394" s="20">
        <f t="shared" si="392"/>
        <v>3.812914485</v>
      </c>
    </row>
    <row r="395" ht="15.75" customHeight="1">
      <c r="A395" s="10">
        <f>Dados!A397</f>
        <v>44400.66667</v>
      </c>
      <c r="B395" s="19">
        <f>Dados!B397</f>
        <v>57.01</v>
      </c>
      <c r="C395" s="19">
        <f>Dados!D397</f>
        <v>289.67</v>
      </c>
      <c r="D395" s="19">
        <f>Dados!F397</f>
        <v>214.46</v>
      </c>
      <c r="E395" s="19">
        <f>Dados!H397</f>
        <v>148.56</v>
      </c>
      <c r="F395" s="20">
        <f t="shared" ref="F395:I395" si="393">STANDARDIZE(B395,$L$7,$L$8)</f>
        <v>0.6788830716</v>
      </c>
      <c r="G395" s="20">
        <f t="shared" si="393"/>
        <v>8.79965096</v>
      </c>
      <c r="H395" s="20">
        <f t="shared" si="393"/>
        <v>6.17452007</v>
      </c>
      <c r="I395" s="20">
        <f t="shared" si="393"/>
        <v>3.87434555</v>
      </c>
    </row>
    <row r="396" ht="15.75" customHeight="1">
      <c r="A396" s="10">
        <f>Dados!A398</f>
        <v>44403.66667</v>
      </c>
      <c r="B396" s="19">
        <f>Dados!B398</f>
        <v>57.06</v>
      </c>
      <c r="C396" s="19">
        <f>Dados!D398</f>
        <v>289.05</v>
      </c>
      <c r="D396" s="19">
        <f>Dados!F398</f>
        <v>219.21</v>
      </c>
      <c r="E396" s="19">
        <f>Dados!H398</f>
        <v>148.99</v>
      </c>
      <c r="F396" s="20">
        <f t="shared" ref="F396:I396" si="394">STANDARDIZE(B396,$L$7,$L$8)</f>
        <v>0.6806282723</v>
      </c>
      <c r="G396" s="20">
        <f t="shared" si="394"/>
        <v>8.778010471</v>
      </c>
      <c r="H396" s="20">
        <f t="shared" si="394"/>
        <v>6.340314136</v>
      </c>
      <c r="I396" s="20">
        <f t="shared" si="394"/>
        <v>3.889354276</v>
      </c>
    </row>
    <row r="397" ht="15.75" customHeight="1">
      <c r="A397" s="10">
        <f>Dados!A399</f>
        <v>44404.66667</v>
      </c>
      <c r="B397" s="19">
        <f>Dados!B399</f>
        <v>57.26</v>
      </c>
      <c r="C397" s="19">
        <f>Dados!D399</f>
        <v>286.54</v>
      </c>
      <c r="D397" s="19">
        <f>Dados!F399</f>
        <v>214.93</v>
      </c>
      <c r="E397" s="19">
        <f>Dados!H399</f>
        <v>146.77</v>
      </c>
      <c r="F397" s="20">
        <f t="shared" ref="F397:I397" si="395">STANDARDIZE(B397,$L$7,$L$8)</f>
        <v>0.687609075</v>
      </c>
      <c r="G397" s="20">
        <f t="shared" si="395"/>
        <v>8.690401396</v>
      </c>
      <c r="H397" s="20">
        <f t="shared" si="395"/>
        <v>6.190924956</v>
      </c>
      <c r="I397" s="20">
        <f t="shared" si="395"/>
        <v>3.811867365</v>
      </c>
    </row>
    <row r="398" ht="15.75" customHeight="1">
      <c r="A398" s="10">
        <f>Dados!A400</f>
        <v>44405.66667</v>
      </c>
      <c r="B398" s="19">
        <f>Dados!B400</f>
        <v>56.74</v>
      </c>
      <c r="C398" s="19">
        <f>Dados!D400</f>
        <v>286.22</v>
      </c>
      <c r="D398" s="19">
        <f>Dados!F400</f>
        <v>215.66</v>
      </c>
      <c r="E398" s="19">
        <f>Dados!H400</f>
        <v>144.98</v>
      </c>
      <c r="F398" s="20">
        <f t="shared" ref="F398:I398" si="396">STANDARDIZE(B398,$L$7,$L$8)</f>
        <v>0.6694589878</v>
      </c>
      <c r="G398" s="20">
        <f t="shared" si="396"/>
        <v>8.679232112</v>
      </c>
      <c r="H398" s="20">
        <f t="shared" si="396"/>
        <v>6.216404887</v>
      </c>
      <c r="I398" s="20">
        <f t="shared" si="396"/>
        <v>3.74938918</v>
      </c>
    </row>
    <row r="399" ht="15.75" customHeight="1">
      <c r="A399" s="10">
        <f>Dados!A401</f>
        <v>44406.66667</v>
      </c>
      <c r="B399" s="19">
        <f>Dados!B401</f>
        <v>57.05</v>
      </c>
      <c r="C399" s="19">
        <f>Dados!D401</f>
        <v>286.5</v>
      </c>
      <c r="D399" s="19">
        <f>Dados!F401</f>
        <v>225.78</v>
      </c>
      <c r="E399" s="19">
        <f>Dados!H401</f>
        <v>145.64</v>
      </c>
      <c r="F399" s="20">
        <f t="shared" ref="F399:I399" si="397">STANDARDIZE(B399,$L$7,$L$8)</f>
        <v>0.6802792321</v>
      </c>
      <c r="G399" s="20">
        <f t="shared" si="397"/>
        <v>8.689005236</v>
      </c>
      <c r="H399" s="20">
        <f t="shared" si="397"/>
        <v>6.569633508</v>
      </c>
      <c r="I399" s="20">
        <f t="shared" si="397"/>
        <v>3.772425829</v>
      </c>
    </row>
    <row r="400" ht="15.75" customHeight="1">
      <c r="A400" s="10">
        <f>Dados!A402</f>
        <v>44407.66667</v>
      </c>
      <c r="B400" s="19">
        <f>Dados!B402</f>
        <v>57.03</v>
      </c>
      <c r="C400" s="19">
        <f>Dados!D402</f>
        <v>284.91</v>
      </c>
      <c r="D400" s="19">
        <f>Dados!F402</f>
        <v>229.07</v>
      </c>
      <c r="E400" s="19">
        <f>Dados!H402</f>
        <v>145.86</v>
      </c>
      <c r="F400" s="20">
        <f t="shared" ref="F400:I400" si="398">STANDARDIZE(B400,$L$7,$L$8)</f>
        <v>0.6795811518</v>
      </c>
      <c r="G400" s="20">
        <f t="shared" si="398"/>
        <v>8.633507853</v>
      </c>
      <c r="H400" s="20">
        <f t="shared" si="398"/>
        <v>6.684467714</v>
      </c>
      <c r="I400" s="20">
        <f t="shared" si="398"/>
        <v>3.780104712</v>
      </c>
    </row>
    <row r="401" ht="15.75" customHeight="1">
      <c r="A401" s="10">
        <f>Dados!A403</f>
        <v>44410.66667</v>
      </c>
      <c r="B401" s="19">
        <f>Dados!B403</f>
        <v>56.88</v>
      </c>
      <c r="C401" s="19">
        <f>Dados!D403</f>
        <v>284.82</v>
      </c>
      <c r="D401" s="19">
        <f>Dados!F403</f>
        <v>236.56</v>
      </c>
      <c r="E401" s="19">
        <f>Dados!H403</f>
        <v>145.52</v>
      </c>
      <c r="F401" s="20">
        <f t="shared" ref="F401:I401" si="399">STANDARDIZE(B401,$L$7,$L$8)</f>
        <v>0.6743455497</v>
      </c>
      <c r="G401" s="20">
        <f t="shared" si="399"/>
        <v>8.630366492</v>
      </c>
      <c r="H401" s="20">
        <f t="shared" si="399"/>
        <v>6.945898778</v>
      </c>
      <c r="I401" s="20">
        <f t="shared" si="399"/>
        <v>3.768237347</v>
      </c>
    </row>
    <row r="402" ht="15.75" customHeight="1">
      <c r="A402" s="10">
        <f>Dados!A404</f>
        <v>44411.66667</v>
      </c>
      <c r="B402" s="19">
        <f>Dados!B404</f>
        <v>56.92</v>
      </c>
      <c r="C402" s="19">
        <f>Dados!D404</f>
        <v>287.12</v>
      </c>
      <c r="D402" s="19">
        <f>Dados!F404</f>
        <v>236.58</v>
      </c>
      <c r="E402" s="19">
        <f>Dados!H404</f>
        <v>147.36</v>
      </c>
      <c r="F402" s="20">
        <f t="shared" ref="F402:I402" si="400">STANDARDIZE(B402,$L$7,$L$8)</f>
        <v>0.6757417103</v>
      </c>
      <c r="G402" s="20">
        <f t="shared" si="400"/>
        <v>8.710645724</v>
      </c>
      <c r="H402" s="20">
        <f t="shared" si="400"/>
        <v>6.946596859</v>
      </c>
      <c r="I402" s="20">
        <f t="shared" si="400"/>
        <v>3.832460733</v>
      </c>
    </row>
    <row r="403" ht="15.75" customHeight="1">
      <c r="A403" s="10">
        <f>Dados!A405</f>
        <v>44412.66667</v>
      </c>
      <c r="B403" s="19">
        <f>Dados!B405</f>
        <v>56.1</v>
      </c>
      <c r="C403" s="19">
        <f>Dados!D405</f>
        <v>286.51</v>
      </c>
      <c r="D403" s="19">
        <f>Dados!F405</f>
        <v>236.97</v>
      </c>
      <c r="E403" s="19">
        <f>Dados!H405</f>
        <v>146.95</v>
      </c>
      <c r="F403" s="20">
        <f t="shared" ref="F403:I403" si="401">STANDARDIZE(B403,$L$7,$L$8)</f>
        <v>0.6471204188</v>
      </c>
      <c r="G403" s="20">
        <f t="shared" si="401"/>
        <v>8.689354276</v>
      </c>
      <c r="H403" s="20">
        <f t="shared" si="401"/>
        <v>6.960209424</v>
      </c>
      <c r="I403" s="20">
        <f t="shared" si="401"/>
        <v>3.818150087</v>
      </c>
    </row>
    <row r="404" ht="15.75" customHeight="1">
      <c r="A404" s="10">
        <f>Dados!A406</f>
        <v>44413.66667</v>
      </c>
      <c r="B404" s="19">
        <f>Dados!B406</f>
        <v>56.5</v>
      </c>
      <c r="C404" s="19">
        <f>Dados!D406</f>
        <v>289.52</v>
      </c>
      <c r="D404" s="19">
        <f>Dados!F406</f>
        <v>238.21</v>
      </c>
      <c r="E404" s="19">
        <f>Dados!H406</f>
        <v>147.06</v>
      </c>
      <c r="F404" s="20">
        <f t="shared" ref="F404:I404" si="402">STANDARDIZE(B404,$L$7,$L$8)</f>
        <v>0.6610820244</v>
      </c>
      <c r="G404" s="20">
        <f t="shared" si="402"/>
        <v>8.794415358</v>
      </c>
      <c r="H404" s="20">
        <f t="shared" si="402"/>
        <v>7.003490401</v>
      </c>
      <c r="I404" s="20">
        <f t="shared" si="402"/>
        <v>3.821989529</v>
      </c>
    </row>
    <row r="405" ht="15.75" customHeight="1">
      <c r="A405" s="10">
        <f>Dados!A407</f>
        <v>44414.66667</v>
      </c>
      <c r="B405" s="19">
        <f>Dados!B407</f>
        <v>56.64</v>
      </c>
      <c r="C405" s="19">
        <f>Dados!D407</f>
        <v>289.46</v>
      </c>
      <c r="D405" s="19">
        <f>Dados!F407</f>
        <v>233.03</v>
      </c>
      <c r="E405" s="19">
        <f>Dados!H407</f>
        <v>146.14</v>
      </c>
      <c r="F405" s="20">
        <f t="shared" ref="F405:I405" si="403">STANDARDIZE(B405,$L$7,$L$8)</f>
        <v>0.6659685864</v>
      </c>
      <c r="G405" s="20">
        <f t="shared" si="403"/>
        <v>8.792321117</v>
      </c>
      <c r="H405" s="20">
        <f t="shared" si="403"/>
        <v>6.822687609</v>
      </c>
      <c r="I405" s="20">
        <f t="shared" si="403"/>
        <v>3.789877836</v>
      </c>
    </row>
    <row r="406" ht="15.75" customHeight="1">
      <c r="A406" s="10">
        <f>Dados!A408</f>
        <v>44417.66667</v>
      </c>
      <c r="B406" s="19">
        <f>Dados!B408</f>
        <v>56.65</v>
      </c>
      <c r="C406" s="19">
        <f>Dados!D408</f>
        <v>288.33</v>
      </c>
      <c r="D406" s="19">
        <f>Dados!F408</f>
        <v>237.92</v>
      </c>
      <c r="E406" s="19">
        <f>Dados!H408</f>
        <v>146.09</v>
      </c>
      <c r="F406" s="20">
        <f t="shared" ref="F406:I406" si="404">STANDARDIZE(B406,$L$7,$L$8)</f>
        <v>0.6663176265</v>
      </c>
      <c r="G406" s="20">
        <f t="shared" si="404"/>
        <v>8.752879581</v>
      </c>
      <c r="H406" s="20">
        <f t="shared" si="404"/>
        <v>6.993368237</v>
      </c>
      <c r="I406" s="20">
        <f t="shared" si="404"/>
        <v>3.788132635</v>
      </c>
    </row>
    <row r="407" ht="15.75" customHeight="1">
      <c r="A407" s="10">
        <f>Dados!A409</f>
        <v>44418.66667</v>
      </c>
      <c r="B407" s="19">
        <f>Dados!B409</f>
        <v>56.8</v>
      </c>
      <c r="C407" s="19">
        <f>Dados!D409</f>
        <v>286.44</v>
      </c>
      <c r="D407" s="19">
        <f>Dados!F409</f>
        <v>236.66</v>
      </c>
      <c r="E407" s="19">
        <f>Dados!H409</f>
        <v>145.6</v>
      </c>
      <c r="F407" s="20">
        <f t="shared" ref="F407:I407" si="405">STANDARDIZE(B407,$L$7,$L$8)</f>
        <v>0.6715532286</v>
      </c>
      <c r="G407" s="20">
        <f t="shared" si="405"/>
        <v>8.686910995</v>
      </c>
      <c r="H407" s="20">
        <f t="shared" si="405"/>
        <v>6.94938918</v>
      </c>
      <c r="I407" s="20">
        <f t="shared" si="405"/>
        <v>3.771029668</v>
      </c>
    </row>
    <row r="408" ht="15.75" customHeight="1">
      <c r="A408" s="10">
        <f>Dados!A410</f>
        <v>44419.66667</v>
      </c>
      <c r="B408" s="19">
        <f>Dados!B410</f>
        <v>56.73</v>
      </c>
      <c r="C408" s="19">
        <f>Dados!D410</f>
        <v>286.95</v>
      </c>
      <c r="D408" s="19">
        <f>Dados!F410</f>
        <v>235.94</v>
      </c>
      <c r="E408" s="19">
        <f>Dados!H410</f>
        <v>145.86</v>
      </c>
      <c r="F408" s="20">
        <f t="shared" ref="F408:I408" si="406">STANDARDIZE(B408,$L$7,$L$8)</f>
        <v>0.6691099476</v>
      </c>
      <c r="G408" s="20">
        <f t="shared" si="406"/>
        <v>8.704712042</v>
      </c>
      <c r="H408" s="20">
        <f t="shared" si="406"/>
        <v>6.92425829</v>
      </c>
      <c r="I408" s="20">
        <f t="shared" si="406"/>
        <v>3.780104712</v>
      </c>
    </row>
    <row r="409" ht="15.75" customHeight="1">
      <c r="A409" s="10">
        <f>Dados!A411</f>
        <v>44420.66667</v>
      </c>
      <c r="B409" s="19">
        <f>Dados!B411</f>
        <v>56.84</v>
      </c>
      <c r="C409" s="19">
        <f>Dados!D411</f>
        <v>289.81</v>
      </c>
      <c r="D409" s="19">
        <f>Dados!F411</f>
        <v>240.75</v>
      </c>
      <c r="E409" s="19">
        <f>Dados!H411</f>
        <v>148.89</v>
      </c>
      <c r="F409" s="20">
        <f t="shared" ref="F409:I409" si="407">STANDARDIZE(B409,$L$7,$L$8)</f>
        <v>0.6729493892</v>
      </c>
      <c r="G409" s="20">
        <f t="shared" si="407"/>
        <v>8.804537522</v>
      </c>
      <c r="H409" s="20">
        <f t="shared" si="407"/>
        <v>7.092146597</v>
      </c>
      <c r="I409" s="20">
        <f t="shared" si="407"/>
        <v>3.885863874</v>
      </c>
    </row>
    <row r="410" ht="15.75" customHeight="1">
      <c r="A410" s="10">
        <f>Dados!A412</f>
        <v>44421.66667</v>
      </c>
      <c r="B410" s="19">
        <f>Dados!B412</f>
        <v>57.23</v>
      </c>
      <c r="C410" s="19">
        <f>Dados!D412</f>
        <v>292.85</v>
      </c>
      <c r="D410" s="19">
        <f>Dados!F412</f>
        <v>239.06</v>
      </c>
      <c r="E410" s="19">
        <f>Dados!H412</f>
        <v>149.1</v>
      </c>
      <c r="F410" s="20">
        <f t="shared" ref="F410:I410" si="408">STANDARDIZE(B410,$L$7,$L$8)</f>
        <v>0.6865619546</v>
      </c>
      <c r="G410" s="20">
        <f t="shared" si="408"/>
        <v>8.910645724</v>
      </c>
      <c r="H410" s="20">
        <f t="shared" si="408"/>
        <v>7.033158813</v>
      </c>
      <c r="I410" s="20">
        <f t="shared" si="408"/>
        <v>3.893193717</v>
      </c>
    </row>
    <row r="411" ht="15.75" customHeight="1">
      <c r="A411" s="10">
        <f>Dados!A413</f>
        <v>44424.66667</v>
      </c>
      <c r="B411" s="19">
        <f>Dados!B413</f>
        <v>57.48</v>
      </c>
      <c r="C411" s="19">
        <f>Dados!D413</f>
        <v>294.6</v>
      </c>
      <c r="D411" s="19">
        <f>Dados!F413</f>
        <v>228.72</v>
      </c>
      <c r="E411" s="19">
        <f>Dados!H413</f>
        <v>151.12</v>
      </c>
      <c r="F411" s="20">
        <f t="shared" ref="F411:I411" si="409">STANDARDIZE(B411,$L$7,$L$8)</f>
        <v>0.6952879581</v>
      </c>
      <c r="G411" s="20">
        <f t="shared" si="409"/>
        <v>8.971727749</v>
      </c>
      <c r="H411" s="20">
        <f t="shared" si="409"/>
        <v>6.672251309</v>
      </c>
      <c r="I411" s="20">
        <f t="shared" si="409"/>
        <v>3.963699825</v>
      </c>
    </row>
    <row r="412" ht="15.75" customHeight="1">
      <c r="A412" s="10">
        <f>Dados!A414</f>
        <v>44425.66667</v>
      </c>
      <c r="B412" s="19">
        <f>Dados!B414</f>
        <v>57.28</v>
      </c>
      <c r="C412" s="19">
        <f>Dados!D414</f>
        <v>293.08</v>
      </c>
      <c r="D412" s="19">
        <f>Dados!F414</f>
        <v>221.9</v>
      </c>
      <c r="E412" s="19">
        <f>Dados!H414</f>
        <v>150.19</v>
      </c>
      <c r="F412" s="20">
        <f t="shared" ref="F412:I412" si="410">STANDARDIZE(B412,$L$7,$L$8)</f>
        <v>0.6883071553</v>
      </c>
      <c r="G412" s="20">
        <f t="shared" si="410"/>
        <v>8.918673647</v>
      </c>
      <c r="H412" s="20">
        <f t="shared" si="410"/>
        <v>6.434205934</v>
      </c>
      <c r="I412" s="20">
        <f t="shared" si="410"/>
        <v>3.931239092</v>
      </c>
    </row>
    <row r="413" ht="15.75" customHeight="1">
      <c r="A413" s="10">
        <f>Dados!A415</f>
        <v>44426.66667</v>
      </c>
      <c r="B413" s="19">
        <f>Dados!B415</f>
        <v>56.5</v>
      </c>
      <c r="C413" s="19">
        <f>Dados!D415</f>
        <v>290.73</v>
      </c>
      <c r="D413" s="19">
        <f>Dados!F415</f>
        <v>229.66</v>
      </c>
      <c r="E413" s="19">
        <f>Dados!H415</f>
        <v>146.36</v>
      </c>
      <c r="F413" s="20">
        <f t="shared" ref="F413:I413" si="411">STANDARDIZE(B413,$L$7,$L$8)</f>
        <v>0.6610820244</v>
      </c>
      <c r="G413" s="20">
        <f t="shared" si="411"/>
        <v>8.836649215</v>
      </c>
      <c r="H413" s="20">
        <f t="shared" si="411"/>
        <v>6.705061082</v>
      </c>
      <c r="I413" s="20">
        <f t="shared" si="411"/>
        <v>3.797556719</v>
      </c>
    </row>
    <row r="414" ht="15.75" customHeight="1">
      <c r="A414" s="10">
        <f>Dados!A416</f>
        <v>44427.66667</v>
      </c>
      <c r="B414" s="19">
        <f>Dados!B416</f>
        <v>56.86</v>
      </c>
      <c r="C414" s="19">
        <f>Dados!D416</f>
        <v>296.77</v>
      </c>
      <c r="D414" s="19">
        <f>Dados!F416</f>
        <v>224.49</v>
      </c>
      <c r="E414" s="19">
        <f>Dados!H416</f>
        <v>146.7</v>
      </c>
      <c r="F414" s="20">
        <f t="shared" ref="F414:I414" si="412">STANDARDIZE(B414,$L$7,$L$8)</f>
        <v>0.6736474695</v>
      </c>
      <c r="G414" s="20">
        <f t="shared" si="412"/>
        <v>9.047469459</v>
      </c>
      <c r="H414" s="20">
        <f t="shared" si="412"/>
        <v>6.52460733</v>
      </c>
      <c r="I414" s="20">
        <f t="shared" si="412"/>
        <v>3.809424084</v>
      </c>
    </row>
    <row r="415" ht="15.75" customHeight="1">
      <c r="A415" s="10">
        <f>Dados!A417</f>
        <v>44428.66667</v>
      </c>
      <c r="B415" s="19">
        <f>Dados!B417</f>
        <v>56.64</v>
      </c>
      <c r="C415" s="19">
        <f>Dados!D417</f>
        <v>304.36</v>
      </c>
      <c r="D415" s="19">
        <f>Dados!F417</f>
        <v>226.75</v>
      </c>
      <c r="E415" s="19">
        <f>Dados!H417</f>
        <v>148.19</v>
      </c>
      <c r="F415" s="20">
        <f t="shared" ref="F415:I415" si="413">STANDARDIZE(B415,$L$7,$L$8)</f>
        <v>0.6659685864</v>
      </c>
      <c r="G415" s="20">
        <f t="shared" si="413"/>
        <v>9.312390925</v>
      </c>
      <c r="H415" s="20">
        <f t="shared" si="413"/>
        <v>6.603490401</v>
      </c>
      <c r="I415" s="20">
        <f t="shared" si="413"/>
        <v>3.861431065</v>
      </c>
    </row>
    <row r="416" ht="15.75" customHeight="1">
      <c r="A416" s="10">
        <f>Dados!A418</f>
        <v>44431.66667</v>
      </c>
      <c r="B416" s="19">
        <f>Dados!B418</f>
        <v>56.44</v>
      </c>
      <c r="C416" s="19">
        <f>Dados!D418</f>
        <v>304.65</v>
      </c>
      <c r="D416" s="19">
        <f>Dados!F418</f>
        <v>235.43</v>
      </c>
      <c r="E416" s="19">
        <f>Dados!H418</f>
        <v>149.71</v>
      </c>
      <c r="F416" s="20">
        <f t="shared" ref="F416:I416" si="414">STANDARDIZE(B416,$L$7,$L$8)</f>
        <v>0.6589877836</v>
      </c>
      <c r="G416" s="20">
        <f t="shared" si="414"/>
        <v>9.322513089</v>
      </c>
      <c r="H416" s="20">
        <f t="shared" si="414"/>
        <v>6.906457243</v>
      </c>
      <c r="I416" s="20">
        <f t="shared" si="414"/>
        <v>3.914485166</v>
      </c>
    </row>
    <row r="417" ht="15.75" customHeight="1">
      <c r="A417" s="10">
        <f>Dados!A419</f>
        <v>44432.66667</v>
      </c>
      <c r="B417" s="19">
        <f>Dados!B419</f>
        <v>56.01</v>
      </c>
      <c r="C417" s="19">
        <f>Dados!D419</f>
        <v>302.62</v>
      </c>
      <c r="D417" s="19">
        <f>Dados!F419</f>
        <v>236.16</v>
      </c>
      <c r="E417" s="19">
        <f>Dados!H419</f>
        <v>149.62</v>
      </c>
      <c r="F417" s="20">
        <f t="shared" ref="F417:I417" si="415">STANDARDIZE(B417,$L$7,$L$8)</f>
        <v>0.6439790576</v>
      </c>
      <c r="G417" s="20">
        <f t="shared" si="415"/>
        <v>9.251657941</v>
      </c>
      <c r="H417" s="20">
        <f t="shared" si="415"/>
        <v>6.931937173</v>
      </c>
      <c r="I417" s="20">
        <f t="shared" si="415"/>
        <v>3.911343805</v>
      </c>
    </row>
    <row r="418" ht="15.75" customHeight="1">
      <c r="A418" s="10">
        <f>Dados!A420</f>
        <v>44433.66667</v>
      </c>
      <c r="B418" s="19">
        <f>Dados!B420</f>
        <v>56.07</v>
      </c>
      <c r="C418" s="19">
        <f>Dados!D420</f>
        <v>302.01</v>
      </c>
      <c r="D418" s="19">
        <f>Dados!F420</f>
        <v>237.07</v>
      </c>
      <c r="E418" s="19">
        <f>Dados!H420</f>
        <v>148.36</v>
      </c>
      <c r="F418" s="20">
        <f t="shared" ref="F418:I418" si="416">STANDARDIZE(B418,$L$7,$L$8)</f>
        <v>0.6460732984</v>
      </c>
      <c r="G418" s="20">
        <f t="shared" si="416"/>
        <v>9.230366492</v>
      </c>
      <c r="H418" s="20">
        <f t="shared" si="416"/>
        <v>6.963699825</v>
      </c>
      <c r="I418" s="20">
        <f t="shared" si="416"/>
        <v>3.867364747</v>
      </c>
    </row>
    <row r="419" ht="15.75" customHeight="1">
      <c r="A419" s="10">
        <f>Dados!A421</f>
        <v>44434.66667</v>
      </c>
      <c r="B419" s="19">
        <f>Dados!B421</f>
        <v>55.54</v>
      </c>
      <c r="C419" s="19">
        <f>Dados!D421</f>
        <v>299.09</v>
      </c>
      <c r="D419" s="19">
        <f>Dados!F421</f>
        <v>233.72</v>
      </c>
      <c r="E419" s="19">
        <f>Dados!H421</f>
        <v>147.54</v>
      </c>
      <c r="F419" s="20">
        <f t="shared" ref="F419:I419" si="417">STANDARDIZE(B419,$L$7,$L$8)</f>
        <v>0.627574171</v>
      </c>
      <c r="G419" s="20">
        <f t="shared" si="417"/>
        <v>9.128446771</v>
      </c>
      <c r="H419" s="20">
        <f t="shared" si="417"/>
        <v>6.846771379</v>
      </c>
      <c r="I419" s="20">
        <f t="shared" si="417"/>
        <v>3.838743455</v>
      </c>
    </row>
    <row r="420" ht="15.75" customHeight="1">
      <c r="A420" s="10">
        <f>Dados!A422</f>
        <v>44435.66667</v>
      </c>
      <c r="B420" s="19">
        <f>Dados!B422</f>
        <v>55.65</v>
      </c>
      <c r="C420" s="19">
        <f>Dados!D422</f>
        <v>299.72</v>
      </c>
      <c r="D420" s="19">
        <f>Dados!F422</f>
        <v>237.31</v>
      </c>
      <c r="E420" s="19">
        <f>Dados!H422</f>
        <v>148.6</v>
      </c>
      <c r="F420" s="20">
        <f t="shared" ref="F420:I420" si="418">STANDARDIZE(B420,$L$7,$L$8)</f>
        <v>0.6314136126</v>
      </c>
      <c r="G420" s="20">
        <f t="shared" si="418"/>
        <v>9.1504363</v>
      </c>
      <c r="H420" s="20">
        <f t="shared" si="418"/>
        <v>6.972076789</v>
      </c>
      <c r="I420" s="20">
        <f t="shared" si="418"/>
        <v>3.87574171</v>
      </c>
    </row>
    <row r="421" ht="15.75" customHeight="1">
      <c r="A421" s="10">
        <f>Dados!A423</f>
        <v>44438.66667</v>
      </c>
      <c r="B421" s="19">
        <f>Dados!B423</f>
        <v>56.18</v>
      </c>
      <c r="C421" s="19">
        <f>Dados!D423</f>
        <v>303.59</v>
      </c>
      <c r="D421" s="19">
        <f>Dados!F423</f>
        <v>243.64</v>
      </c>
      <c r="E421" s="19">
        <f>Dados!H423</f>
        <v>153.12</v>
      </c>
      <c r="F421" s="20">
        <f t="shared" ref="F421:I421" si="419">STANDARDIZE(B421,$L$7,$L$8)</f>
        <v>0.64991274</v>
      </c>
      <c r="G421" s="20">
        <f t="shared" si="419"/>
        <v>9.285514834</v>
      </c>
      <c r="H421" s="20">
        <f t="shared" si="419"/>
        <v>7.193019197</v>
      </c>
      <c r="I421" s="20">
        <f t="shared" si="419"/>
        <v>4.033507853</v>
      </c>
    </row>
    <row r="422" ht="15.75" customHeight="1">
      <c r="A422" s="10">
        <f>Dados!A424</f>
        <v>44439.66667</v>
      </c>
      <c r="B422" s="19">
        <f>Dados!B424</f>
        <v>56.31</v>
      </c>
      <c r="C422" s="19">
        <f>Dados!D424</f>
        <v>301.88</v>
      </c>
      <c r="D422" s="19">
        <f>Dados!F424</f>
        <v>245.24</v>
      </c>
      <c r="E422" s="19">
        <f>Dados!H424</f>
        <v>151.83</v>
      </c>
      <c r="F422" s="20">
        <f t="shared" ref="F422:I422" si="420">STANDARDIZE(B422,$L$7,$L$8)</f>
        <v>0.6544502618</v>
      </c>
      <c r="G422" s="20">
        <f t="shared" si="420"/>
        <v>9.22582897</v>
      </c>
      <c r="H422" s="20">
        <f t="shared" si="420"/>
        <v>7.24886562</v>
      </c>
      <c r="I422" s="20">
        <f t="shared" si="420"/>
        <v>3.988481675</v>
      </c>
    </row>
    <row r="423" ht="15.75" customHeight="1">
      <c r="A423" s="10">
        <f>Dados!A425</f>
        <v>44440.66667</v>
      </c>
      <c r="B423" s="19">
        <f>Dados!B425</f>
        <v>56.69</v>
      </c>
      <c r="C423" s="19">
        <f>Dados!D425</f>
        <v>301.83</v>
      </c>
      <c r="D423" s="19">
        <f>Dados!F425</f>
        <v>244.7</v>
      </c>
      <c r="E423" s="19">
        <f>Dados!H425</f>
        <v>152.51</v>
      </c>
      <c r="F423" s="20">
        <f t="shared" ref="F423:I423" si="421">STANDARDIZE(B423,$L$7,$L$8)</f>
        <v>0.6677137871</v>
      </c>
      <c r="G423" s="20">
        <f t="shared" si="421"/>
        <v>9.22408377</v>
      </c>
      <c r="H423" s="20">
        <f t="shared" si="421"/>
        <v>7.230017452</v>
      </c>
      <c r="I423" s="20">
        <f t="shared" si="421"/>
        <v>4.012216405</v>
      </c>
    </row>
    <row r="424" ht="15.75" customHeight="1">
      <c r="A424" s="10">
        <f>Dados!A426</f>
        <v>44441.66667</v>
      </c>
      <c r="B424" s="19">
        <f>Dados!B426</f>
        <v>56.77</v>
      </c>
      <c r="C424" s="19">
        <f>Dados!D426</f>
        <v>301.15</v>
      </c>
      <c r="D424" s="19">
        <f>Dados!F426</f>
        <v>244.13</v>
      </c>
      <c r="E424" s="19">
        <f>Dados!H426</f>
        <v>153.65</v>
      </c>
      <c r="F424" s="20">
        <f t="shared" ref="F424:I424" si="422">STANDARDIZE(B424,$L$7,$L$8)</f>
        <v>0.6705061082</v>
      </c>
      <c r="G424" s="20">
        <f t="shared" si="422"/>
        <v>9.20034904</v>
      </c>
      <c r="H424" s="20">
        <f t="shared" si="422"/>
        <v>7.210122164</v>
      </c>
      <c r="I424" s="20">
        <f t="shared" si="422"/>
        <v>4.052006981</v>
      </c>
    </row>
    <row r="425" ht="15.75" customHeight="1">
      <c r="A425" s="10">
        <f>Dados!A427</f>
        <v>44442.66667</v>
      </c>
      <c r="B425" s="19">
        <f>Dados!B427</f>
        <v>56.73</v>
      </c>
      <c r="C425" s="19">
        <f>Dados!D427</f>
        <v>301.14</v>
      </c>
      <c r="D425" s="19">
        <f>Dados!F427</f>
        <v>244.52</v>
      </c>
      <c r="E425" s="19">
        <f>Dados!H427</f>
        <v>154.3</v>
      </c>
      <c r="F425" s="20">
        <f t="shared" ref="F425:I425" si="423">STANDARDIZE(B425,$L$7,$L$8)</f>
        <v>0.6691099476</v>
      </c>
      <c r="G425" s="20">
        <f t="shared" si="423"/>
        <v>9.2</v>
      </c>
      <c r="H425" s="20">
        <f t="shared" si="423"/>
        <v>7.223734729</v>
      </c>
      <c r="I425" s="20">
        <f t="shared" si="423"/>
        <v>4.07469459</v>
      </c>
    </row>
    <row r="426" ht="15.75" customHeight="1">
      <c r="A426" s="10">
        <f>Dados!A428</f>
        <v>44446.66667</v>
      </c>
      <c r="B426" s="19">
        <f>Dados!B428</f>
        <v>55.67</v>
      </c>
      <c r="C426" s="19">
        <f>Dados!D428</f>
        <v>300.18</v>
      </c>
      <c r="D426" s="19">
        <f>Dados!F428</f>
        <v>250.97</v>
      </c>
      <c r="E426" s="19">
        <f>Dados!H428</f>
        <v>156.69</v>
      </c>
      <c r="F426" s="20">
        <f t="shared" ref="F426:I426" si="424">STANDARDIZE(B426,$L$7,$L$8)</f>
        <v>0.6321116928</v>
      </c>
      <c r="G426" s="20">
        <f t="shared" si="424"/>
        <v>9.166492147</v>
      </c>
      <c r="H426" s="20">
        <f t="shared" si="424"/>
        <v>7.44886562</v>
      </c>
      <c r="I426" s="20">
        <f t="shared" si="424"/>
        <v>4.158115183</v>
      </c>
    </row>
    <row r="427" ht="15.75" customHeight="1">
      <c r="A427" s="10">
        <f>Dados!A429</f>
        <v>44447.66667</v>
      </c>
      <c r="B427" s="19">
        <f>Dados!B429</f>
        <v>56.42</v>
      </c>
      <c r="C427" s="19">
        <f>Dados!D429</f>
        <v>300.21</v>
      </c>
      <c r="D427" s="19">
        <f>Dados!F429</f>
        <v>251.29</v>
      </c>
      <c r="E427" s="19">
        <f>Dados!H429</f>
        <v>155.11</v>
      </c>
      <c r="F427" s="20">
        <f t="shared" ref="F427:I427" si="425">STANDARDIZE(B427,$L$7,$L$8)</f>
        <v>0.6582897033</v>
      </c>
      <c r="G427" s="20">
        <f t="shared" si="425"/>
        <v>9.167539267</v>
      </c>
      <c r="H427" s="20">
        <f t="shared" si="425"/>
        <v>7.460034904</v>
      </c>
      <c r="I427" s="20">
        <f t="shared" si="425"/>
        <v>4.102966841</v>
      </c>
    </row>
    <row r="428" ht="15.75" customHeight="1">
      <c r="A428" s="10">
        <f>Dados!A430</f>
        <v>44448.66667</v>
      </c>
      <c r="B428" s="19">
        <f>Dados!B430</f>
        <v>55.86</v>
      </c>
      <c r="C428" s="19">
        <f>Dados!D430</f>
        <v>297.25</v>
      </c>
      <c r="D428" s="19">
        <f>Dados!F430</f>
        <v>251.62</v>
      </c>
      <c r="E428" s="19">
        <f>Dados!H430</f>
        <v>154.07</v>
      </c>
      <c r="F428" s="20">
        <f t="shared" ref="F428:I428" si="426">STANDARDIZE(B428,$L$7,$L$8)</f>
        <v>0.6387434555</v>
      </c>
      <c r="G428" s="20">
        <f t="shared" si="426"/>
        <v>9.064223386</v>
      </c>
      <c r="H428" s="20">
        <f t="shared" si="426"/>
        <v>7.471553229</v>
      </c>
      <c r="I428" s="20">
        <f t="shared" si="426"/>
        <v>4.066666667</v>
      </c>
    </row>
    <row r="429" ht="15.75" customHeight="1">
      <c r="A429" s="10">
        <f>Dados!A431</f>
        <v>44449.66667</v>
      </c>
      <c r="B429" s="19">
        <f>Dados!B431</f>
        <v>55.61</v>
      </c>
      <c r="C429" s="19">
        <f>Dados!D431</f>
        <v>295.71</v>
      </c>
      <c r="D429" s="19">
        <f>Dados!F431</f>
        <v>245.42</v>
      </c>
      <c r="E429" s="19">
        <f>Dados!H431</f>
        <v>148.97</v>
      </c>
      <c r="F429" s="20">
        <f t="shared" ref="F429:I429" si="427">STANDARDIZE(B429,$L$7,$L$8)</f>
        <v>0.630017452</v>
      </c>
      <c r="G429" s="20">
        <f t="shared" si="427"/>
        <v>9.010471204</v>
      </c>
      <c r="H429" s="20">
        <f t="shared" si="427"/>
        <v>7.255148342</v>
      </c>
      <c r="I429" s="20">
        <f t="shared" si="427"/>
        <v>3.888656195</v>
      </c>
    </row>
    <row r="430" ht="15.75" customHeight="1">
      <c r="A430" s="10">
        <f>Dados!A432</f>
        <v>44452.66667</v>
      </c>
      <c r="B430" s="19">
        <f>Dados!B432</f>
        <v>56.07</v>
      </c>
      <c r="C430" s="19">
        <f>Dados!D432</f>
        <v>296.99</v>
      </c>
      <c r="D430" s="19">
        <f>Dados!F432</f>
        <v>247.67</v>
      </c>
      <c r="E430" s="19">
        <f>Dados!H432</f>
        <v>149.55</v>
      </c>
      <c r="F430" s="20">
        <f t="shared" ref="F430:I430" si="428">STANDARDIZE(B430,$L$7,$L$8)</f>
        <v>0.6460732984</v>
      </c>
      <c r="G430" s="20">
        <f t="shared" si="428"/>
        <v>9.055148342</v>
      </c>
      <c r="H430" s="20">
        <f t="shared" si="428"/>
        <v>7.333682373</v>
      </c>
      <c r="I430" s="20">
        <f t="shared" si="428"/>
        <v>3.908900524</v>
      </c>
    </row>
    <row r="431" ht="15.75" customHeight="1">
      <c r="A431" s="10">
        <f>Dados!A433</f>
        <v>44453.66667</v>
      </c>
      <c r="B431" s="19">
        <f>Dados!B433</f>
        <v>55.69</v>
      </c>
      <c r="C431" s="19">
        <f>Dados!D433</f>
        <v>299.79</v>
      </c>
      <c r="D431" s="19">
        <f>Dados!F433</f>
        <v>248.16</v>
      </c>
      <c r="E431" s="19">
        <f>Dados!H433</f>
        <v>148.12</v>
      </c>
      <c r="F431" s="20">
        <f t="shared" ref="F431:I431" si="429">STANDARDIZE(B431,$L$7,$L$8)</f>
        <v>0.6328097731</v>
      </c>
      <c r="G431" s="20">
        <f t="shared" si="429"/>
        <v>9.152879581</v>
      </c>
      <c r="H431" s="20">
        <f t="shared" si="429"/>
        <v>7.35078534</v>
      </c>
      <c r="I431" s="20">
        <f t="shared" si="429"/>
        <v>3.858987784</v>
      </c>
    </row>
    <row r="432" ht="15.75" customHeight="1">
      <c r="A432" s="10">
        <f>Dados!A434</f>
        <v>44454.66667</v>
      </c>
      <c r="B432" s="19">
        <f>Dados!B434</f>
        <v>55.88</v>
      </c>
      <c r="C432" s="19">
        <f>Dados!D434</f>
        <v>304.82</v>
      </c>
      <c r="D432" s="19">
        <f>Dados!F434</f>
        <v>251.94</v>
      </c>
      <c r="E432" s="19">
        <f>Dados!H434</f>
        <v>149.03</v>
      </c>
      <c r="F432" s="20">
        <f t="shared" ref="F432:I432" si="430">STANDARDIZE(B432,$L$7,$L$8)</f>
        <v>0.6394415358</v>
      </c>
      <c r="G432" s="20">
        <f t="shared" si="430"/>
        <v>9.328446771</v>
      </c>
      <c r="H432" s="20">
        <f t="shared" si="430"/>
        <v>7.482722513</v>
      </c>
      <c r="I432" s="20">
        <f t="shared" si="430"/>
        <v>3.890750436</v>
      </c>
    </row>
    <row r="433" ht="15.75" customHeight="1">
      <c r="A433" s="10">
        <f>Dados!A435</f>
        <v>44455.66667</v>
      </c>
      <c r="B433" s="19">
        <f>Dados!B435</f>
        <v>55.35</v>
      </c>
      <c r="C433" s="19">
        <f>Dados!D435</f>
        <v>305.22</v>
      </c>
      <c r="D433" s="19">
        <f>Dados!F435</f>
        <v>252.33</v>
      </c>
      <c r="E433" s="19">
        <f>Dados!H435</f>
        <v>148.79</v>
      </c>
      <c r="F433" s="20">
        <f t="shared" ref="F433:I433" si="431">STANDARDIZE(B433,$L$7,$L$8)</f>
        <v>0.6209424084</v>
      </c>
      <c r="G433" s="20">
        <f t="shared" si="431"/>
        <v>9.342408377</v>
      </c>
      <c r="H433" s="20">
        <f t="shared" si="431"/>
        <v>7.496335079</v>
      </c>
      <c r="I433" s="20">
        <f t="shared" si="431"/>
        <v>3.882373473</v>
      </c>
    </row>
    <row r="434" ht="15.75" customHeight="1">
      <c r="A434" s="10">
        <f>Dados!A436</f>
        <v>44456.66667</v>
      </c>
      <c r="B434" s="19">
        <f>Dados!B436</f>
        <v>54.44</v>
      </c>
      <c r="C434" s="19">
        <f>Dados!D436</f>
        <v>299.87</v>
      </c>
      <c r="D434" s="19">
        <f>Dados!F436</f>
        <v>253.16</v>
      </c>
      <c r="E434" s="19">
        <f>Dados!H436</f>
        <v>146.06</v>
      </c>
      <c r="F434" s="20">
        <f t="shared" ref="F434:I434" si="432">STANDARDIZE(B434,$L$7,$L$8)</f>
        <v>0.5891797557</v>
      </c>
      <c r="G434" s="20">
        <f t="shared" si="432"/>
        <v>9.155671902</v>
      </c>
      <c r="H434" s="20">
        <f t="shared" si="432"/>
        <v>7.52530541</v>
      </c>
      <c r="I434" s="20">
        <f t="shared" si="432"/>
        <v>3.787085515</v>
      </c>
    </row>
    <row r="435" ht="15.75" customHeight="1">
      <c r="A435" s="10">
        <f>Dados!A437</f>
        <v>44459.66667</v>
      </c>
      <c r="B435" s="19">
        <f>Dados!B437</f>
        <v>54.06</v>
      </c>
      <c r="C435" s="19">
        <f>Dados!D437</f>
        <v>294.3</v>
      </c>
      <c r="D435" s="19">
        <f>Dados!F437</f>
        <v>243.39</v>
      </c>
      <c r="E435" s="19">
        <f>Dados!H437</f>
        <v>142.94</v>
      </c>
      <c r="F435" s="20">
        <f t="shared" ref="F435:I435" si="433">STANDARDIZE(B435,$L$7,$L$8)</f>
        <v>0.5759162304</v>
      </c>
      <c r="G435" s="20">
        <f t="shared" si="433"/>
        <v>8.961256545</v>
      </c>
      <c r="H435" s="20">
        <f t="shared" si="433"/>
        <v>7.184293194</v>
      </c>
      <c r="I435" s="20">
        <f t="shared" si="433"/>
        <v>3.678184991</v>
      </c>
    </row>
    <row r="436" ht="15.75" customHeight="1">
      <c r="A436" s="10">
        <f>Dados!A438</f>
        <v>44460.66667</v>
      </c>
      <c r="B436" s="19">
        <f>Dados!B438</f>
        <v>54.05</v>
      </c>
      <c r="C436" s="19">
        <f>Dados!D438</f>
        <v>294.8</v>
      </c>
      <c r="D436" s="19">
        <f>Dados!F438</f>
        <v>246.46</v>
      </c>
      <c r="E436" s="19">
        <f>Dados!H438</f>
        <v>143.43</v>
      </c>
      <c r="F436" s="20">
        <f t="shared" ref="F436:I436" si="434">STANDARDIZE(B436,$L$7,$L$8)</f>
        <v>0.5755671902</v>
      </c>
      <c r="G436" s="20">
        <f t="shared" si="434"/>
        <v>8.978708551</v>
      </c>
      <c r="H436" s="20">
        <f t="shared" si="434"/>
        <v>7.291448517</v>
      </c>
      <c r="I436" s="20">
        <f t="shared" si="434"/>
        <v>3.695287958</v>
      </c>
    </row>
    <row r="437" ht="15.75" customHeight="1">
      <c r="A437" s="10">
        <f>Dados!A439</f>
        <v>44461.66667</v>
      </c>
      <c r="B437" s="19">
        <f>Dados!B439</f>
        <v>54.13</v>
      </c>
      <c r="C437" s="19">
        <f>Dados!D439</f>
        <v>298.58</v>
      </c>
      <c r="D437" s="19">
        <f>Dados!F439</f>
        <v>250.65</v>
      </c>
      <c r="E437" s="19">
        <f>Dados!H439</f>
        <v>145.85</v>
      </c>
      <c r="F437" s="20">
        <f t="shared" ref="F437:I437" si="435">STANDARDIZE(B437,$L$7,$L$8)</f>
        <v>0.5783595113</v>
      </c>
      <c r="G437" s="20">
        <f t="shared" si="435"/>
        <v>9.110645724</v>
      </c>
      <c r="H437" s="20">
        <f t="shared" si="435"/>
        <v>7.437696335</v>
      </c>
      <c r="I437" s="20">
        <f t="shared" si="435"/>
        <v>3.779755672</v>
      </c>
    </row>
    <row r="438" ht="15.75" customHeight="1">
      <c r="A438" s="10">
        <f>Dados!A440</f>
        <v>44462.66667</v>
      </c>
      <c r="B438" s="19">
        <f>Dados!B440</f>
        <v>54.04</v>
      </c>
      <c r="C438" s="19">
        <f>Dados!D440</f>
        <v>299.56</v>
      </c>
      <c r="D438" s="19">
        <f>Dados!F440</f>
        <v>251.21</v>
      </c>
      <c r="E438" s="19">
        <f>Dados!H440</f>
        <v>146.83</v>
      </c>
      <c r="F438" s="20">
        <f t="shared" ref="F438:I438" si="436">STANDARDIZE(B438,$L$7,$L$8)</f>
        <v>0.5752181501</v>
      </c>
      <c r="G438" s="20">
        <f t="shared" si="436"/>
        <v>9.144851658</v>
      </c>
      <c r="H438" s="20">
        <f t="shared" si="436"/>
        <v>7.457242583</v>
      </c>
      <c r="I438" s="20">
        <f t="shared" si="436"/>
        <v>3.813961606</v>
      </c>
    </row>
    <row r="439" ht="15.75" customHeight="1">
      <c r="A439" s="10">
        <f>Dados!A441</f>
        <v>44463.66667</v>
      </c>
      <c r="B439" s="19">
        <f>Dados!B441</f>
        <v>53.89</v>
      </c>
      <c r="C439" s="19">
        <f>Dados!D441</f>
        <v>299.35</v>
      </c>
      <c r="D439" s="19">
        <f>Dados!F441</f>
        <v>258.13</v>
      </c>
      <c r="E439" s="19">
        <f>Dados!H441</f>
        <v>146.92</v>
      </c>
      <c r="F439" s="20">
        <f t="shared" ref="F439:I439" si="437">STANDARDIZE(B439,$L$7,$L$8)</f>
        <v>0.569982548</v>
      </c>
      <c r="G439" s="20">
        <f t="shared" si="437"/>
        <v>9.137521815</v>
      </c>
      <c r="H439" s="20">
        <f t="shared" si="437"/>
        <v>7.69877836</v>
      </c>
      <c r="I439" s="20">
        <f t="shared" si="437"/>
        <v>3.817102967</v>
      </c>
    </row>
    <row r="440" ht="15.75" customHeight="1">
      <c r="A440" s="10">
        <f>Dados!A442</f>
        <v>44466.66667</v>
      </c>
      <c r="B440" s="19">
        <f>Dados!B442</f>
        <v>53.61</v>
      </c>
      <c r="C440" s="19">
        <f>Dados!D442</f>
        <v>294.17</v>
      </c>
      <c r="D440" s="19">
        <f>Dados!F442</f>
        <v>263.79</v>
      </c>
      <c r="E440" s="19">
        <f>Dados!H442</f>
        <v>145.37</v>
      </c>
      <c r="F440" s="20">
        <f t="shared" ref="F440:I440" si="438">STANDARDIZE(B440,$L$7,$L$8)</f>
        <v>0.5602094241</v>
      </c>
      <c r="G440" s="20">
        <f t="shared" si="438"/>
        <v>8.956719023</v>
      </c>
      <c r="H440" s="20">
        <f t="shared" si="438"/>
        <v>7.896335079</v>
      </c>
      <c r="I440" s="20">
        <f t="shared" si="438"/>
        <v>3.763001745</v>
      </c>
    </row>
    <row r="441" ht="15.75" customHeight="1">
      <c r="A441" s="10">
        <f>Dados!A443</f>
        <v>44467.66667</v>
      </c>
      <c r="B441" s="19">
        <f>Dados!B443</f>
        <v>52.64</v>
      </c>
      <c r="C441" s="19">
        <f>Dados!D443</f>
        <v>283.52</v>
      </c>
      <c r="D441" s="19">
        <f>Dados!F443</f>
        <v>259.19</v>
      </c>
      <c r="E441" s="19">
        <f>Dados!H443</f>
        <v>141.91</v>
      </c>
      <c r="F441" s="20">
        <f t="shared" ref="F441:I441" si="439">STANDARDIZE(B441,$L$7,$L$8)</f>
        <v>0.5263525305</v>
      </c>
      <c r="G441" s="20">
        <f t="shared" si="439"/>
        <v>8.584991274</v>
      </c>
      <c r="H441" s="20">
        <f t="shared" si="439"/>
        <v>7.735776614</v>
      </c>
      <c r="I441" s="20">
        <f t="shared" si="439"/>
        <v>3.642233857</v>
      </c>
    </row>
    <row r="442" ht="15.75" customHeight="1">
      <c r="A442" s="10">
        <f>Dados!A444</f>
        <v>44468.66667</v>
      </c>
      <c r="B442" s="19">
        <f>Dados!B444</f>
        <v>52.96</v>
      </c>
      <c r="C442" s="19">
        <f>Dados!D444</f>
        <v>284</v>
      </c>
      <c r="D442" s="19">
        <f>Dados!F444</f>
        <v>260.44</v>
      </c>
      <c r="E442" s="19">
        <f>Dados!H444</f>
        <v>142.83</v>
      </c>
      <c r="F442" s="20">
        <f t="shared" ref="F442:I442" si="440">STANDARDIZE(B442,$L$7,$L$8)</f>
        <v>0.537521815</v>
      </c>
      <c r="G442" s="20">
        <f t="shared" si="440"/>
        <v>8.601745201</v>
      </c>
      <c r="H442" s="20">
        <f t="shared" si="440"/>
        <v>7.779406632</v>
      </c>
      <c r="I442" s="20">
        <f t="shared" si="440"/>
        <v>3.67434555</v>
      </c>
    </row>
    <row r="443" ht="15.75" customHeight="1">
      <c r="A443" s="10">
        <f>Dados!A445</f>
        <v>44469.66667</v>
      </c>
      <c r="B443" s="19">
        <f>Dados!B445</f>
        <v>52.47</v>
      </c>
      <c r="C443" s="19">
        <f>Dados!D445</f>
        <v>281.92</v>
      </c>
      <c r="D443" s="19">
        <f>Dados!F445</f>
        <v>258.49</v>
      </c>
      <c r="E443" s="19">
        <f>Dados!H445</f>
        <v>141.5</v>
      </c>
      <c r="F443" s="20">
        <f t="shared" ref="F443:I443" si="441">STANDARDIZE(B443,$L$7,$L$8)</f>
        <v>0.5204188482</v>
      </c>
      <c r="G443" s="20">
        <f t="shared" si="441"/>
        <v>8.529144852</v>
      </c>
      <c r="H443" s="20">
        <f t="shared" si="441"/>
        <v>7.711343805</v>
      </c>
      <c r="I443" s="20">
        <f t="shared" si="441"/>
        <v>3.627923211</v>
      </c>
    </row>
    <row r="444" ht="15.75" customHeight="1">
      <c r="A444" s="10">
        <f>Dados!A446</f>
        <v>44470.66667</v>
      </c>
      <c r="B444" s="19">
        <f>Dados!B446</f>
        <v>53.02</v>
      </c>
      <c r="C444" s="19">
        <f>Dados!D446</f>
        <v>289.1</v>
      </c>
      <c r="D444" s="19">
        <f>Dados!F446</f>
        <v>258.41</v>
      </c>
      <c r="E444" s="19">
        <f>Dados!H446</f>
        <v>142.65</v>
      </c>
      <c r="F444" s="20">
        <f t="shared" ref="F444:I444" si="442">STANDARDIZE(B444,$L$7,$L$8)</f>
        <v>0.5396160558</v>
      </c>
      <c r="G444" s="20">
        <f t="shared" si="442"/>
        <v>8.779755672</v>
      </c>
      <c r="H444" s="20">
        <f t="shared" si="442"/>
        <v>7.708551483</v>
      </c>
      <c r="I444" s="20">
        <f t="shared" si="442"/>
        <v>3.668062827</v>
      </c>
    </row>
    <row r="445" ht="15.75" customHeight="1">
      <c r="A445" s="10">
        <f>Dados!A447</f>
        <v>44473.66667</v>
      </c>
      <c r="B445" s="19">
        <f>Dados!B447</f>
        <v>52.99</v>
      </c>
      <c r="C445" s="19">
        <f>Dados!D447</f>
        <v>283.11</v>
      </c>
      <c r="D445" s="19">
        <f>Dados!F447</f>
        <v>260.51</v>
      </c>
      <c r="E445" s="19">
        <f>Dados!H447</f>
        <v>139.14</v>
      </c>
      <c r="F445" s="20">
        <f t="shared" ref="F445:I445" si="443">STANDARDIZE(B445,$L$7,$L$8)</f>
        <v>0.5385689354</v>
      </c>
      <c r="G445" s="20">
        <f t="shared" si="443"/>
        <v>8.570680628</v>
      </c>
      <c r="H445" s="20">
        <f t="shared" si="443"/>
        <v>7.781849913</v>
      </c>
      <c r="I445" s="20">
        <f t="shared" si="443"/>
        <v>3.545549738</v>
      </c>
    </row>
    <row r="446" ht="15.75" customHeight="1">
      <c r="A446" s="10">
        <f>Dados!A448</f>
        <v>44474.66667</v>
      </c>
      <c r="B446" s="19">
        <f>Dados!B448</f>
        <v>53.08</v>
      </c>
      <c r="C446" s="19">
        <f>Dados!D448</f>
        <v>288.76</v>
      </c>
      <c r="D446" s="19">
        <f>Dados!F448</f>
        <v>260.2</v>
      </c>
      <c r="E446" s="19">
        <f>Dados!H448</f>
        <v>141.11</v>
      </c>
      <c r="F446" s="20">
        <f t="shared" ref="F446:I446" si="444">STANDARDIZE(B446,$L$7,$L$8)</f>
        <v>0.5417102967</v>
      </c>
      <c r="G446" s="20">
        <f t="shared" si="444"/>
        <v>8.767888307</v>
      </c>
      <c r="H446" s="20">
        <f t="shared" si="444"/>
        <v>7.771029668</v>
      </c>
      <c r="I446" s="20">
        <f t="shared" si="444"/>
        <v>3.614310646</v>
      </c>
    </row>
    <row r="447" ht="15.75" customHeight="1">
      <c r="A447" s="10">
        <f>Dados!A449</f>
        <v>44475.66667</v>
      </c>
      <c r="B447" s="19">
        <f>Dados!B449</f>
        <v>53.71</v>
      </c>
      <c r="C447" s="19">
        <f>Dados!D449</f>
        <v>293.11</v>
      </c>
      <c r="D447" s="19">
        <f>Dados!F449</f>
        <v>260.92</v>
      </c>
      <c r="E447" s="19">
        <f>Dados!H449</f>
        <v>142</v>
      </c>
      <c r="F447" s="20">
        <f t="shared" ref="F447:I447" si="445">STANDARDIZE(B447,$L$7,$L$8)</f>
        <v>0.5636998255</v>
      </c>
      <c r="G447" s="20">
        <f t="shared" si="445"/>
        <v>8.919720768</v>
      </c>
      <c r="H447" s="20">
        <f t="shared" si="445"/>
        <v>7.796160558</v>
      </c>
      <c r="I447" s="20">
        <f t="shared" si="445"/>
        <v>3.645375218</v>
      </c>
    </row>
    <row r="448" ht="15.75" customHeight="1">
      <c r="A448" s="10">
        <f>Dados!A450</f>
        <v>44476.66667</v>
      </c>
      <c r="B448" s="19">
        <f>Dados!B450</f>
        <v>53.88</v>
      </c>
      <c r="C448" s="19">
        <f>Dados!D450</f>
        <v>294.85</v>
      </c>
      <c r="D448" s="19">
        <f>Dados!F450</f>
        <v>264.54</v>
      </c>
      <c r="E448" s="19">
        <f>Dados!H450</f>
        <v>143.29</v>
      </c>
      <c r="F448" s="20">
        <f t="shared" ref="F448:I448" si="446">STANDARDIZE(B448,$L$7,$L$8)</f>
        <v>0.5696335079</v>
      </c>
      <c r="G448" s="20">
        <f t="shared" si="446"/>
        <v>8.980453752</v>
      </c>
      <c r="H448" s="20">
        <f t="shared" si="446"/>
        <v>7.922513089</v>
      </c>
      <c r="I448" s="20">
        <f t="shared" si="446"/>
        <v>3.690401396</v>
      </c>
    </row>
    <row r="449" ht="15.75" customHeight="1">
      <c r="A449" s="10">
        <f>Dados!A451</f>
        <v>44477.66667</v>
      </c>
      <c r="B449" s="19">
        <f>Dados!B451</f>
        <v>54.12</v>
      </c>
      <c r="C449" s="19">
        <f>Dados!D451</f>
        <v>294.85</v>
      </c>
      <c r="D449" s="19">
        <f>Dados!F451</f>
        <v>261.83</v>
      </c>
      <c r="E449" s="19">
        <f>Dados!H451</f>
        <v>142.9</v>
      </c>
      <c r="F449" s="20">
        <f t="shared" ref="F449:I449" si="447">STANDARDIZE(B449,$L$7,$L$8)</f>
        <v>0.5780104712</v>
      </c>
      <c r="G449" s="20">
        <f t="shared" si="447"/>
        <v>8.980453752</v>
      </c>
      <c r="H449" s="20">
        <f t="shared" si="447"/>
        <v>7.827923211</v>
      </c>
      <c r="I449" s="20">
        <f t="shared" si="447"/>
        <v>3.676788831</v>
      </c>
    </row>
    <row r="450" ht="15.75" customHeight="1">
      <c r="A450" s="10">
        <f>Dados!A452</f>
        <v>44480.66667</v>
      </c>
      <c r="B450" s="19">
        <f>Dados!B452</f>
        <v>54.23</v>
      </c>
      <c r="C450" s="19">
        <f>Dados!D452</f>
        <v>294.23</v>
      </c>
      <c r="D450" s="19">
        <f>Dados!F452</f>
        <v>263.98</v>
      </c>
      <c r="E450" s="19">
        <f>Dados!H452</f>
        <v>142.81</v>
      </c>
      <c r="F450" s="20">
        <f t="shared" ref="F450:I450" si="448">STANDARDIZE(B450,$L$7,$L$8)</f>
        <v>0.5818499127</v>
      </c>
      <c r="G450" s="20">
        <f t="shared" si="448"/>
        <v>8.958813264</v>
      </c>
      <c r="H450" s="20">
        <f t="shared" si="448"/>
        <v>7.902966841</v>
      </c>
      <c r="I450" s="20">
        <f t="shared" si="448"/>
        <v>3.673647469</v>
      </c>
    </row>
    <row r="451" ht="15.75" customHeight="1">
      <c r="A451" s="10">
        <f>Dados!A453</f>
        <v>44481.66667</v>
      </c>
      <c r="B451" s="19">
        <f>Dados!B453</f>
        <v>54.23</v>
      </c>
      <c r="C451" s="19">
        <f>Dados!D453</f>
        <v>292.88</v>
      </c>
      <c r="D451" s="19">
        <f>Dados!F453</f>
        <v>268.57</v>
      </c>
      <c r="E451" s="19">
        <f>Dados!H453</f>
        <v>141.51</v>
      </c>
      <c r="F451" s="20">
        <f t="shared" ref="F451:I451" si="449">STANDARDIZE(B451,$L$7,$L$8)</f>
        <v>0.5818499127</v>
      </c>
      <c r="G451" s="20">
        <f t="shared" si="449"/>
        <v>8.911692845</v>
      </c>
      <c r="H451" s="20">
        <f t="shared" si="449"/>
        <v>8.063176265</v>
      </c>
      <c r="I451" s="20">
        <f t="shared" si="449"/>
        <v>3.628272251</v>
      </c>
    </row>
    <row r="452" ht="15.75" customHeight="1">
      <c r="A452" s="10">
        <f>Dados!A454</f>
        <v>44482.66667</v>
      </c>
      <c r="B452" s="19">
        <f>Dados!B454</f>
        <v>54.24</v>
      </c>
      <c r="C452" s="19">
        <f>Dados!D454</f>
        <v>296.31</v>
      </c>
      <c r="D452" s="19">
        <f>Dados!F454</f>
        <v>270.36</v>
      </c>
      <c r="E452" s="19">
        <f>Dados!H454</f>
        <v>140.91</v>
      </c>
      <c r="F452" s="20">
        <f t="shared" ref="F452:I452" si="450">STANDARDIZE(B452,$L$7,$L$8)</f>
        <v>0.5821989529</v>
      </c>
      <c r="G452" s="20">
        <f t="shared" si="450"/>
        <v>9.031413613</v>
      </c>
      <c r="H452" s="20">
        <f t="shared" si="450"/>
        <v>8.12565445</v>
      </c>
      <c r="I452" s="20">
        <f t="shared" si="450"/>
        <v>3.607329843</v>
      </c>
    </row>
    <row r="453" ht="15.75" customHeight="1">
      <c r="A453" s="10">
        <f>Dados!A455</f>
        <v>44483.66667</v>
      </c>
      <c r="B453" s="19">
        <f>Dados!B455</f>
        <v>54.61</v>
      </c>
      <c r="C453" s="19">
        <f>Dados!D455</f>
        <v>302.75</v>
      </c>
      <c r="D453" s="19">
        <f>Dados!F455</f>
        <v>272.77</v>
      </c>
      <c r="E453" s="19">
        <f>Dados!H455</f>
        <v>143.76</v>
      </c>
      <c r="F453" s="20">
        <f t="shared" ref="F453:I453" si="451">STANDARDIZE(B453,$L$7,$L$8)</f>
        <v>0.595113438</v>
      </c>
      <c r="G453" s="20">
        <f t="shared" si="451"/>
        <v>9.256195462</v>
      </c>
      <c r="H453" s="20">
        <f t="shared" si="451"/>
        <v>8.209773124</v>
      </c>
      <c r="I453" s="20">
        <f t="shared" si="451"/>
        <v>3.706806283</v>
      </c>
    </row>
    <row r="454" ht="15.75" customHeight="1">
      <c r="A454" s="10">
        <f>Dados!A456</f>
        <v>44484.66667</v>
      </c>
      <c r="B454" s="19">
        <f>Dados!B456</f>
        <v>54.48</v>
      </c>
      <c r="C454" s="19">
        <f>Dados!D456</f>
        <v>304.21</v>
      </c>
      <c r="D454" s="19">
        <f>Dados!F456</f>
        <v>281.01</v>
      </c>
      <c r="E454" s="19">
        <f>Dados!H456</f>
        <v>144.84</v>
      </c>
      <c r="F454" s="20">
        <f t="shared" ref="F454:I454" si="452">STANDARDIZE(B454,$L$7,$L$8)</f>
        <v>0.5905759162</v>
      </c>
      <c r="G454" s="20">
        <f t="shared" si="452"/>
        <v>9.307155323</v>
      </c>
      <c r="H454" s="20">
        <f t="shared" si="452"/>
        <v>8.497382199</v>
      </c>
      <c r="I454" s="20">
        <f t="shared" si="452"/>
        <v>3.744502618</v>
      </c>
    </row>
    <row r="455" ht="15.75" customHeight="1">
      <c r="A455" s="10">
        <f>Dados!A457</f>
        <v>44487.66667</v>
      </c>
      <c r="B455" s="19">
        <f>Dados!B457</f>
        <v>53.94</v>
      </c>
      <c r="C455" s="19">
        <f>Dados!D457</f>
        <v>307.29</v>
      </c>
      <c r="D455" s="19">
        <f>Dados!F457</f>
        <v>290.04</v>
      </c>
      <c r="E455" s="19">
        <f>Dados!H457</f>
        <v>146.55</v>
      </c>
      <c r="F455" s="20">
        <f t="shared" ref="F455:I455" si="453">STANDARDIZE(B455,$L$7,$L$8)</f>
        <v>0.5717277487</v>
      </c>
      <c r="G455" s="20">
        <f t="shared" si="453"/>
        <v>9.414659686</v>
      </c>
      <c r="H455" s="20">
        <f t="shared" si="453"/>
        <v>8.812565445</v>
      </c>
      <c r="I455" s="20">
        <f t="shared" si="453"/>
        <v>3.804188482</v>
      </c>
    </row>
    <row r="456" ht="15.75" customHeight="1">
      <c r="A456" s="10">
        <f>Dados!A458</f>
        <v>44488.66667</v>
      </c>
      <c r="B456" s="19">
        <f>Dados!B458</f>
        <v>54.15</v>
      </c>
      <c r="C456" s="19">
        <f>Dados!D458</f>
        <v>308.23</v>
      </c>
      <c r="D456" s="19">
        <f>Dados!F458</f>
        <v>288.09</v>
      </c>
      <c r="E456" s="19">
        <f>Dados!H458</f>
        <v>148.76</v>
      </c>
      <c r="F456" s="20">
        <f t="shared" ref="F456:I456" si="454">STANDARDIZE(B456,$L$7,$L$8)</f>
        <v>0.5790575916</v>
      </c>
      <c r="G456" s="20">
        <f t="shared" si="454"/>
        <v>9.447469459</v>
      </c>
      <c r="H456" s="20">
        <f t="shared" si="454"/>
        <v>8.744502618</v>
      </c>
      <c r="I456" s="20">
        <f t="shared" si="454"/>
        <v>3.881326353</v>
      </c>
    </row>
    <row r="457" ht="15.75" customHeight="1">
      <c r="A457" s="10">
        <f>Dados!A459</f>
        <v>44489.66667</v>
      </c>
      <c r="B457" s="19">
        <f>Dados!B459</f>
        <v>54.63</v>
      </c>
      <c r="C457" s="19">
        <f>Dados!D459</f>
        <v>307.41</v>
      </c>
      <c r="D457" s="19">
        <f>Dados!F459</f>
        <v>288.6</v>
      </c>
      <c r="E457" s="19">
        <f>Dados!H459</f>
        <v>149.26</v>
      </c>
      <c r="F457" s="20">
        <f t="shared" ref="F457:I457" si="455">STANDARDIZE(B457,$L$7,$L$8)</f>
        <v>0.5958115183</v>
      </c>
      <c r="G457" s="20">
        <f t="shared" si="455"/>
        <v>9.418848168</v>
      </c>
      <c r="H457" s="20">
        <f t="shared" si="455"/>
        <v>8.762303665</v>
      </c>
      <c r="I457" s="20">
        <f t="shared" si="455"/>
        <v>3.89877836</v>
      </c>
    </row>
    <row r="458" ht="15.75" customHeight="1">
      <c r="A458" s="10">
        <f>Dados!A460</f>
        <v>44490.66667</v>
      </c>
      <c r="B458" s="19">
        <f>Dados!B460</f>
        <v>54.35</v>
      </c>
      <c r="C458" s="19">
        <f>Dados!D460</f>
        <v>310.76</v>
      </c>
      <c r="D458" s="19">
        <f>Dados!F460</f>
        <v>298</v>
      </c>
      <c r="E458" s="19">
        <f>Dados!H460</f>
        <v>149.48</v>
      </c>
      <c r="F458" s="20">
        <f t="shared" ref="F458:I458" si="456">STANDARDIZE(B458,$L$7,$L$8)</f>
        <v>0.5860383944</v>
      </c>
      <c r="G458" s="20">
        <f t="shared" si="456"/>
        <v>9.535776614</v>
      </c>
      <c r="H458" s="20">
        <f t="shared" si="456"/>
        <v>9.090401396</v>
      </c>
      <c r="I458" s="20">
        <f t="shared" si="456"/>
        <v>3.906457243</v>
      </c>
    </row>
    <row r="459" ht="15.75" customHeight="1">
      <c r="A459" s="10">
        <f>Dados!A461</f>
        <v>44491.66667</v>
      </c>
      <c r="B459" s="19">
        <f>Dados!B461</f>
        <v>54.45</v>
      </c>
      <c r="C459" s="19">
        <f>Dados!D461</f>
        <v>309.16</v>
      </c>
      <c r="D459" s="19">
        <f>Dados!F461</f>
        <v>303.23</v>
      </c>
      <c r="E459" s="19">
        <f>Dados!H461</f>
        <v>148.69</v>
      </c>
      <c r="F459" s="20">
        <f t="shared" ref="F459:I459" si="457">STANDARDIZE(B459,$L$7,$L$8)</f>
        <v>0.5895287958</v>
      </c>
      <c r="G459" s="20">
        <f t="shared" si="457"/>
        <v>9.479930192</v>
      </c>
      <c r="H459" s="20">
        <f t="shared" si="457"/>
        <v>9.272949389</v>
      </c>
      <c r="I459" s="20">
        <f t="shared" si="457"/>
        <v>3.878883072</v>
      </c>
    </row>
    <row r="460" ht="15.75" customHeight="1">
      <c r="A460" s="10">
        <f>Dados!A462</f>
        <v>44494.66667</v>
      </c>
      <c r="B460" s="19">
        <f>Dados!B462</f>
        <v>54.23</v>
      </c>
      <c r="C460" s="19">
        <f>Dados!D462</f>
        <v>308.13</v>
      </c>
      <c r="D460" s="19">
        <f>Dados!F462</f>
        <v>341.62</v>
      </c>
      <c r="E460" s="19">
        <f>Dados!H462</f>
        <v>148.64</v>
      </c>
      <c r="F460" s="20">
        <f t="shared" ref="F460:I460" si="458">STANDARDIZE(B460,$L$7,$L$8)</f>
        <v>0.5818499127</v>
      </c>
      <c r="G460" s="20">
        <f t="shared" si="458"/>
        <v>9.443979058</v>
      </c>
      <c r="H460" s="20">
        <f t="shared" si="458"/>
        <v>10.61291449</v>
      </c>
      <c r="I460" s="20">
        <f t="shared" si="458"/>
        <v>3.877137871</v>
      </c>
    </row>
    <row r="461" ht="15.75" customHeight="1">
      <c r="A461" s="10">
        <f>Dados!A463</f>
        <v>44495.66667</v>
      </c>
      <c r="B461" s="19">
        <f>Dados!B463</f>
        <v>54.47</v>
      </c>
      <c r="C461" s="19">
        <f>Dados!D463</f>
        <v>310.11</v>
      </c>
      <c r="D461" s="19">
        <f>Dados!F463</f>
        <v>339.48</v>
      </c>
      <c r="E461" s="19">
        <f>Dados!H463</f>
        <v>149.32</v>
      </c>
      <c r="F461" s="20">
        <f t="shared" ref="F461:I461" si="459">STANDARDIZE(B461,$L$7,$L$8)</f>
        <v>0.5902268761</v>
      </c>
      <c r="G461" s="20">
        <f t="shared" si="459"/>
        <v>9.513089005</v>
      </c>
      <c r="H461" s="20">
        <f t="shared" si="459"/>
        <v>10.5382199</v>
      </c>
      <c r="I461" s="20">
        <f t="shared" si="459"/>
        <v>3.9008726</v>
      </c>
    </row>
    <row r="462" ht="15.75" customHeight="1">
      <c r="A462" s="10">
        <f>Dados!A464</f>
        <v>44496.66667</v>
      </c>
      <c r="B462" s="19">
        <f>Dados!B464</f>
        <v>55.52</v>
      </c>
      <c r="C462" s="19">
        <f>Dados!D464</f>
        <v>323.17</v>
      </c>
      <c r="D462" s="19">
        <f>Dados!F464</f>
        <v>345.95</v>
      </c>
      <c r="E462" s="19">
        <f>Dados!H464</f>
        <v>148.85</v>
      </c>
      <c r="F462" s="20">
        <f t="shared" ref="F462:I462" si="460">STANDARDIZE(B462,$L$7,$L$8)</f>
        <v>0.6268760908</v>
      </c>
      <c r="G462" s="20">
        <f t="shared" si="460"/>
        <v>9.968935428</v>
      </c>
      <c r="H462" s="20">
        <f t="shared" si="460"/>
        <v>10.76404887</v>
      </c>
      <c r="I462" s="20">
        <f t="shared" si="460"/>
        <v>3.884467714</v>
      </c>
    </row>
    <row r="463" ht="15.75" customHeight="1">
      <c r="A463" s="10">
        <f>Dados!A465</f>
        <v>44497.66667</v>
      </c>
      <c r="B463" s="19">
        <f>Dados!B465</f>
        <v>56.04</v>
      </c>
      <c r="C463" s="19">
        <f>Dados!D465</f>
        <v>324.35</v>
      </c>
      <c r="D463" s="19">
        <f>Dados!F465</f>
        <v>359.01</v>
      </c>
      <c r="E463" s="19">
        <f>Dados!H465</f>
        <v>152.57</v>
      </c>
      <c r="F463" s="20">
        <f t="shared" ref="F463:I463" si="461">STANDARDIZE(B463,$L$7,$L$8)</f>
        <v>0.645026178</v>
      </c>
      <c r="G463" s="20">
        <f t="shared" si="461"/>
        <v>10.01012216</v>
      </c>
      <c r="H463" s="20">
        <f t="shared" si="461"/>
        <v>11.21989529</v>
      </c>
      <c r="I463" s="20">
        <f t="shared" si="461"/>
        <v>4.014310646</v>
      </c>
    </row>
    <row r="464" ht="15.75" customHeight="1">
      <c r="A464" s="10">
        <f>Dados!A466</f>
        <v>44498.66667</v>
      </c>
      <c r="B464" s="19">
        <f>Dados!B466</f>
        <v>56.37</v>
      </c>
      <c r="C464" s="19">
        <f>Dados!D466</f>
        <v>331.62</v>
      </c>
      <c r="D464" s="19">
        <f>Dados!F466</f>
        <v>371.33</v>
      </c>
      <c r="E464" s="19">
        <f>Dados!H466</f>
        <v>149.8</v>
      </c>
      <c r="F464" s="20">
        <f t="shared" ref="F464:I464" si="462">STANDARDIZE(B464,$L$7,$L$8)</f>
        <v>0.6565445026</v>
      </c>
      <c r="G464" s="20">
        <f t="shared" si="462"/>
        <v>10.26387435</v>
      </c>
      <c r="H464" s="20">
        <f t="shared" si="462"/>
        <v>11.64991274</v>
      </c>
      <c r="I464" s="20">
        <f t="shared" si="462"/>
        <v>3.917626527</v>
      </c>
    </row>
    <row r="465" ht="15.75" customHeight="1">
      <c r="A465" s="10">
        <f>Dados!A467</f>
        <v>44501.66667</v>
      </c>
      <c r="B465" s="19">
        <f>Dados!B467</f>
        <v>56.17</v>
      </c>
      <c r="C465" s="19">
        <f>Dados!D467</f>
        <v>329.37</v>
      </c>
      <c r="D465" s="19">
        <f>Dados!F467</f>
        <v>402.86</v>
      </c>
      <c r="E465" s="19">
        <f>Dados!H467</f>
        <v>148.96</v>
      </c>
      <c r="F465" s="20">
        <f t="shared" ref="F465:I465" si="463">STANDARDIZE(B465,$L$7,$L$8)</f>
        <v>0.6495636998</v>
      </c>
      <c r="G465" s="20">
        <f t="shared" si="463"/>
        <v>10.18534031</v>
      </c>
      <c r="H465" s="20">
        <f t="shared" si="463"/>
        <v>12.7504363</v>
      </c>
      <c r="I465" s="20">
        <f t="shared" si="463"/>
        <v>3.888307155</v>
      </c>
    </row>
    <row r="466" ht="15.75" customHeight="1">
      <c r="A466" s="10">
        <f>Dados!A468</f>
        <v>44502.66667</v>
      </c>
      <c r="B466" s="19">
        <f>Dados!B468</f>
        <v>56.1</v>
      </c>
      <c r="C466" s="19">
        <f>Dados!D468</f>
        <v>333.13</v>
      </c>
      <c r="D466" s="19">
        <f>Dados!F468</f>
        <v>390.67</v>
      </c>
      <c r="E466" s="19">
        <f>Dados!H468</f>
        <v>150.02</v>
      </c>
      <c r="F466" s="20">
        <f t="shared" ref="F466:I466" si="464">STANDARDIZE(B466,$L$7,$L$8)</f>
        <v>0.6471204188</v>
      </c>
      <c r="G466" s="20">
        <f t="shared" si="464"/>
        <v>10.31657941</v>
      </c>
      <c r="H466" s="20">
        <f t="shared" si="464"/>
        <v>12.32495637</v>
      </c>
      <c r="I466" s="20">
        <f t="shared" si="464"/>
        <v>3.92530541</v>
      </c>
    </row>
    <row r="467" ht="15.75" customHeight="1">
      <c r="A467" s="10">
        <f>Dados!A469</f>
        <v>44503.66667</v>
      </c>
      <c r="B467" s="19">
        <f>Dados!B469</f>
        <v>56.29</v>
      </c>
      <c r="C467" s="19">
        <f>Dados!D469</f>
        <v>334</v>
      </c>
      <c r="D467" s="19">
        <f>Dados!F469</f>
        <v>404.62</v>
      </c>
      <c r="E467" s="19">
        <f>Dados!H469</f>
        <v>151.49</v>
      </c>
      <c r="F467" s="20">
        <f t="shared" ref="F467:I467" si="465">STANDARDIZE(B467,$L$7,$L$8)</f>
        <v>0.6537521815</v>
      </c>
      <c r="G467" s="20">
        <f t="shared" si="465"/>
        <v>10.3469459</v>
      </c>
      <c r="H467" s="20">
        <f t="shared" si="465"/>
        <v>12.81186736</v>
      </c>
      <c r="I467" s="20">
        <f t="shared" si="465"/>
        <v>3.976614311</v>
      </c>
    </row>
    <row r="468" ht="15.75" customHeight="1">
      <c r="A468" s="10">
        <f>Dados!A470</f>
        <v>44504.66667</v>
      </c>
      <c r="B468" s="19">
        <f>Dados!B470</f>
        <v>56.6</v>
      </c>
      <c r="C468" s="19">
        <f>Dados!D470</f>
        <v>336.44</v>
      </c>
      <c r="D468" s="19">
        <f>Dados!F470</f>
        <v>409.97</v>
      </c>
      <c r="E468" s="19">
        <f>Dados!H470</f>
        <v>150.96</v>
      </c>
      <c r="F468" s="20">
        <f t="shared" ref="F468:I468" si="466">STANDARDIZE(B468,$L$7,$L$8)</f>
        <v>0.6645724258</v>
      </c>
      <c r="G468" s="20">
        <f t="shared" si="466"/>
        <v>10.43211169</v>
      </c>
      <c r="H468" s="20">
        <f t="shared" si="466"/>
        <v>12.99860384</v>
      </c>
      <c r="I468" s="20">
        <f t="shared" si="466"/>
        <v>3.958115183</v>
      </c>
    </row>
    <row r="469" ht="15.75" customHeight="1">
      <c r="A469" s="10">
        <f>Dados!A471</f>
        <v>44505.66667</v>
      </c>
      <c r="B469" s="19">
        <f>Dados!B471</f>
        <v>56.84</v>
      </c>
      <c r="C469" s="19">
        <f>Dados!D471</f>
        <v>336.06</v>
      </c>
      <c r="D469" s="19">
        <f>Dados!F471</f>
        <v>407.36</v>
      </c>
      <c r="E469" s="19">
        <f>Dados!H471</f>
        <v>151.28</v>
      </c>
      <c r="F469" s="20">
        <f t="shared" ref="F469:I469" si="467">STANDARDIZE(B469,$L$7,$L$8)</f>
        <v>0.6729493892</v>
      </c>
      <c r="G469" s="20">
        <f t="shared" si="467"/>
        <v>10.41884817</v>
      </c>
      <c r="H469" s="20">
        <f t="shared" si="467"/>
        <v>12.90750436</v>
      </c>
      <c r="I469" s="20">
        <f t="shared" si="467"/>
        <v>3.969284468</v>
      </c>
    </row>
    <row r="470" ht="15.75" customHeight="1">
      <c r="A470" s="10">
        <f>Dados!A472</f>
        <v>44508.66667</v>
      </c>
      <c r="B470" s="19">
        <f>Dados!B472</f>
        <v>56.33</v>
      </c>
      <c r="C470" s="19">
        <f>Dados!D472</f>
        <v>336.99</v>
      </c>
      <c r="D470" s="19">
        <f>Dados!F472</f>
        <v>387.65</v>
      </c>
      <c r="E470" s="19">
        <f>Dados!H472</f>
        <v>150.44</v>
      </c>
      <c r="F470" s="20">
        <f t="shared" ref="F470:I470" si="468">STANDARDIZE(B470,$L$7,$L$8)</f>
        <v>0.6551483421</v>
      </c>
      <c r="G470" s="20">
        <f t="shared" si="468"/>
        <v>10.4513089</v>
      </c>
      <c r="H470" s="20">
        <f t="shared" si="468"/>
        <v>12.21954625</v>
      </c>
      <c r="I470" s="20">
        <f t="shared" si="468"/>
        <v>3.939965096</v>
      </c>
    </row>
    <row r="471" ht="15.75" customHeight="1">
      <c r="A471" s="10">
        <f>Dados!A473</f>
        <v>44509.66667</v>
      </c>
      <c r="B471" s="19">
        <f>Dados!B473</f>
        <v>56.49</v>
      </c>
      <c r="C471" s="19">
        <f>Dados!D473</f>
        <v>335.95</v>
      </c>
      <c r="D471" s="19">
        <f>Dados!F473</f>
        <v>341.17</v>
      </c>
      <c r="E471" s="19">
        <f>Dados!H473</f>
        <v>150.81</v>
      </c>
      <c r="F471" s="20">
        <f t="shared" ref="F471:I471" si="469">STANDARDIZE(B471,$L$7,$L$8)</f>
        <v>0.6607329843</v>
      </c>
      <c r="G471" s="20">
        <f t="shared" si="469"/>
        <v>10.41500873</v>
      </c>
      <c r="H471" s="20">
        <f t="shared" si="469"/>
        <v>10.59720768</v>
      </c>
      <c r="I471" s="20">
        <f t="shared" si="469"/>
        <v>3.952879581</v>
      </c>
    </row>
    <row r="472" ht="15.75" customHeight="1">
      <c r="A472" s="10">
        <f>Dados!A474</f>
        <v>44510.66667</v>
      </c>
      <c r="B472" s="19">
        <f>Dados!B474</f>
        <v>56.72</v>
      </c>
      <c r="C472" s="19">
        <f>Dados!D474</f>
        <v>330.8</v>
      </c>
      <c r="D472" s="19">
        <f>Dados!F474</f>
        <v>355.98</v>
      </c>
      <c r="E472" s="19">
        <f>Dados!H474</f>
        <v>147.92</v>
      </c>
      <c r="F472" s="20">
        <f t="shared" ref="F472:I472" si="470">STANDARDIZE(B472,$L$7,$L$8)</f>
        <v>0.6687609075</v>
      </c>
      <c r="G472" s="20">
        <f t="shared" si="470"/>
        <v>10.23525305</v>
      </c>
      <c r="H472" s="20">
        <f t="shared" si="470"/>
        <v>11.11413613</v>
      </c>
      <c r="I472" s="20">
        <f t="shared" si="470"/>
        <v>3.852006981</v>
      </c>
    </row>
    <row r="473" ht="15.75" customHeight="1">
      <c r="A473" s="10">
        <f>Dados!A475</f>
        <v>44511.66667</v>
      </c>
      <c r="B473" s="19">
        <f>Dados!B475</f>
        <v>56.74</v>
      </c>
      <c r="C473" s="19">
        <f>Dados!D475</f>
        <v>332.43</v>
      </c>
      <c r="D473" s="19">
        <f>Dados!F475</f>
        <v>354.5</v>
      </c>
      <c r="E473" s="19">
        <f>Dados!H475</f>
        <v>147.87</v>
      </c>
      <c r="F473" s="20">
        <f t="shared" ref="F473:I473" si="471">STANDARDIZE(B473,$L$7,$L$8)</f>
        <v>0.6694589878</v>
      </c>
      <c r="G473" s="20">
        <f t="shared" si="471"/>
        <v>10.2921466</v>
      </c>
      <c r="H473" s="20">
        <f t="shared" si="471"/>
        <v>11.06247818</v>
      </c>
      <c r="I473" s="20">
        <f t="shared" si="471"/>
        <v>3.85026178</v>
      </c>
    </row>
    <row r="474" ht="15.75" customHeight="1">
      <c r="A474" s="10">
        <f>Dados!A476</f>
        <v>44512.66667</v>
      </c>
      <c r="B474" s="19">
        <f>Dados!B476</f>
        <v>56.61</v>
      </c>
      <c r="C474" s="19">
        <f>Dados!D476</f>
        <v>336.72</v>
      </c>
      <c r="D474" s="19">
        <f>Dados!F476</f>
        <v>344.47</v>
      </c>
      <c r="E474" s="19">
        <f>Dados!H476</f>
        <v>149.99</v>
      </c>
      <c r="F474" s="20">
        <f t="shared" ref="F474:I474" si="472">STANDARDIZE(B474,$L$7,$L$8)</f>
        <v>0.664921466</v>
      </c>
      <c r="G474" s="20">
        <f t="shared" si="472"/>
        <v>10.44188482</v>
      </c>
      <c r="H474" s="20">
        <f t="shared" si="472"/>
        <v>10.71239092</v>
      </c>
      <c r="I474" s="20">
        <f t="shared" si="472"/>
        <v>3.92425829</v>
      </c>
    </row>
    <row r="475" ht="15.75" customHeight="1">
      <c r="A475" s="10">
        <f>Dados!A477</f>
        <v>44515.66667</v>
      </c>
      <c r="B475" s="19">
        <f>Dados!B477</f>
        <v>56.62</v>
      </c>
      <c r="C475" s="19">
        <f>Dados!D477</f>
        <v>336.07</v>
      </c>
      <c r="D475" s="19">
        <f>Dados!F477</f>
        <v>337.8</v>
      </c>
      <c r="E475" s="19">
        <f>Dados!H477</f>
        <v>150</v>
      </c>
      <c r="F475" s="20">
        <f t="shared" ref="F475:I475" si="473">STANDARDIZE(B475,$L$7,$L$8)</f>
        <v>0.6652705061</v>
      </c>
      <c r="G475" s="20">
        <f t="shared" si="473"/>
        <v>10.41919721</v>
      </c>
      <c r="H475" s="20">
        <f t="shared" si="473"/>
        <v>10.47958115</v>
      </c>
      <c r="I475" s="20">
        <f t="shared" si="473"/>
        <v>3.92460733</v>
      </c>
    </row>
    <row r="476" ht="15.75" customHeight="1">
      <c r="A476" s="10">
        <f>Dados!A478</f>
        <v>44516.66667</v>
      </c>
      <c r="B476" s="19">
        <f>Dados!B478</f>
        <v>56.22</v>
      </c>
      <c r="C476" s="19">
        <f>Dados!D478</f>
        <v>339.51</v>
      </c>
      <c r="D476" s="19">
        <f>Dados!F478</f>
        <v>351.58</v>
      </c>
      <c r="E476" s="19">
        <f>Dados!H478</f>
        <v>151</v>
      </c>
      <c r="F476" s="20">
        <f t="shared" ref="F476:I476" si="474">STANDARDIZE(B476,$L$7,$L$8)</f>
        <v>0.6513089005</v>
      </c>
      <c r="G476" s="20">
        <f t="shared" si="474"/>
        <v>10.53926702</v>
      </c>
      <c r="H476" s="20">
        <f t="shared" si="474"/>
        <v>10.96055846</v>
      </c>
      <c r="I476" s="20">
        <f t="shared" si="474"/>
        <v>3.959511344</v>
      </c>
    </row>
    <row r="477" ht="15.75" customHeight="1">
      <c r="A477" s="10">
        <f>Dados!A479</f>
        <v>44517.66667</v>
      </c>
      <c r="B477" s="19">
        <f>Dados!B479</f>
        <v>55.91</v>
      </c>
      <c r="C477" s="19">
        <f>Dados!D479</f>
        <v>339.12</v>
      </c>
      <c r="D477" s="19">
        <f>Dados!F479</f>
        <v>363</v>
      </c>
      <c r="E477" s="19">
        <f>Dados!H479</f>
        <v>153.49</v>
      </c>
      <c r="F477" s="20">
        <f t="shared" ref="F477:I477" si="475">STANDARDIZE(B477,$L$7,$L$8)</f>
        <v>0.6404886562</v>
      </c>
      <c r="G477" s="20">
        <f t="shared" si="475"/>
        <v>10.52565445</v>
      </c>
      <c r="H477" s="20">
        <f t="shared" si="475"/>
        <v>11.3591623</v>
      </c>
      <c r="I477" s="20">
        <f t="shared" si="475"/>
        <v>4.046422339</v>
      </c>
    </row>
    <row r="478" ht="15.75" customHeight="1">
      <c r="A478" s="10">
        <f>Dados!A480</f>
        <v>44518.66667</v>
      </c>
      <c r="B478" s="19">
        <f>Dados!B480</f>
        <v>55.41</v>
      </c>
      <c r="C478" s="19">
        <f>Dados!D480</f>
        <v>341.27</v>
      </c>
      <c r="D478" s="19">
        <f>Dados!F480</f>
        <v>365.46</v>
      </c>
      <c r="E478" s="19">
        <f>Dados!H480</f>
        <v>157.87</v>
      </c>
      <c r="F478" s="20">
        <f t="shared" ref="F478:I478" si="476">STANDARDIZE(B478,$L$7,$L$8)</f>
        <v>0.6230366492</v>
      </c>
      <c r="G478" s="20">
        <f t="shared" si="476"/>
        <v>10.60069808</v>
      </c>
      <c r="H478" s="20">
        <f t="shared" si="476"/>
        <v>11.44502618</v>
      </c>
      <c r="I478" s="20">
        <f t="shared" si="476"/>
        <v>4.19930192</v>
      </c>
    </row>
    <row r="479" ht="15.75" customHeight="1">
      <c r="A479" s="10">
        <f>Dados!A481</f>
        <v>44519.66667</v>
      </c>
      <c r="B479" s="19">
        <f>Dados!B481</f>
        <v>55.13</v>
      </c>
      <c r="C479" s="19">
        <f>Dados!D481</f>
        <v>343.11</v>
      </c>
      <c r="D479" s="19">
        <f>Dados!F481</f>
        <v>379.02</v>
      </c>
      <c r="E479" s="19">
        <f>Dados!H481</f>
        <v>160.55</v>
      </c>
      <c r="F479" s="20">
        <f t="shared" ref="F479:I479" si="477">STANDARDIZE(B479,$L$7,$L$8)</f>
        <v>0.6132635253</v>
      </c>
      <c r="G479" s="20">
        <f t="shared" si="477"/>
        <v>10.66492147</v>
      </c>
      <c r="H479" s="20">
        <f t="shared" si="477"/>
        <v>11.91832461</v>
      </c>
      <c r="I479" s="20">
        <f t="shared" si="477"/>
        <v>4.292844677</v>
      </c>
    </row>
    <row r="480" ht="15.75" customHeight="1">
      <c r="A480" s="10">
        <f>Dados!A482</f>
        <v>44522.66667</v>
      </c>
      <c r="B480" s="19">
        <f>Dados!B482</f>
        <v>55.47</v>
      </c>
      <c r="C480" s="19">
        <f>Dados!D482</f>
        <v>339.83</v>
      </c>
      <c r="D480" s="19">
        <f>Dados!F482</f>
        <v>385.62</v>
      </c>
      <c r="E480" s="19">
        <f>Dados!H482</f>
        <v>161.02</v>
      </c>
      <c r="F480" s="20">
        <f t="shared" ref="F480:I480" si="478">STANDARDIZE(B480,$L$7,$L$8)</f>
        <v>0.6251308901</v>
      </c>
      <c r="G480" s="20">
        <f t="shared" si="478"/>
        <v>10.5504363</v>
      </c>
      <c r="H480" s="20">
        <f t="shared" si="478"/>
        <v>12.1486911</v>
      </c>
      <c r="I480" s="20">
        <f t="shared" si="478"/>
        <v>4.309249564</v>
      </c>
    </row>
    <row r="481" ht="15.75" customHeight="1">
      <c r="A481" s="10">
        <f>Dados!A483</f>
        <v>44523.66667</v>
      </c>
      <c r="B481" s="19">
        <f>Dados!B483</f>
        <v>55.88</v>
      </c>
      <c r="C481" s="19">
        <f>Dados!D483</f>
        <v>337.68</v>
      </c>
      <c r="D481" s="19">
        <f>Dados!F483</f>
        <v>369.68</v>
      </c>
      <c r="E481" s="19">
        <f>Dados!H483</f>
        <v>161.41</v>
      </c>
      <c r="F481" s="20">
        <f t="shared" ref="F481:I481" si="479">STANDARDIZE(B481,$L$7,$L$8)</f>
        <v>0.6394415358</v>
      </c>
      <c r="G481" s="20">
        <f t="shared" si="479"/>
        <v>10.47539267</v>
      </c>
      <c r="H481" s="20">
        <f t="shared" si="479"/>
        <v>11.59232112</v>
      </c>
      <c r="I481" s="20">
        <f t="shared" si="479"/>
        <v>4.322862129</v>
      </c>
    </row>
    <row r="482" ht="15.75" customHeight="1">
      <c r="A482" s="10">
        <f>Dados!A484</f>
        <v>44524.66667</v>
      </c>
      <c r="B482" s="19">
        <f>Dados!B484</f>
        <v>55.43</v>
      </c>
      <c r="C482" s="19">
        <f>Dados!D484</f>
        <v>337.91</v>
      </c>
      <c r="D482" s="19">
        <f>Dados!F484</f>
        <v>372</v>
      </c>
      <c r="E482" s="19">
        <f>Dados!H484</f>
        <v>161.94</v>
      </c>
      <c r="F482" s="20">
        <f t="shared" ref="F482:I482" si="480">STANDARDIZE(B482,$L$7,$L$8)</f>
        <v>0.6237347295</v>
      </c>
      <c r="G482" s="20">
        <f t="shared" si="480"/>
        <v>10.48342059</v>
      </c>
      <c r="H482" s="20">
        <f t="shared" si="480"/>
        <v>11.67329843</v>
      </c>
      <c r="I482" s="20">
        <f t="shared" si="480"/>
        <v>4.341361257</v>
      </c>
    </row>
    <row r="483" ht="15.75" customHeight="1">
      <c r="A483" s="10">
        <f>Dados!A485</f>
        <v>44526.54167</v>
      </c>
      <c r="B483" s="19">
        <f>Dados!B485</f>
        <v>53.73</v>
      </c>
      <c r="C483" s="19">
        <f>Dados!D485</f>
        <v>329.68</v>
      </c>
      <c r="D483" s="19">
        <f>Dados!F485</f>
        <v>360.64</v>
      </c>
      <c r="E483" s="19">
        <f>Dados!H485</f>
        <v>156.81</v>
      </c>
      <c r="F483" s="20">
        <f t="shared" ref="F483:I483" si="481">STANDARDIZE(B483,$L$7,$L$8)</f>
        <v>0.5643979058</v>
      </c>
      <c r="G483" s="20">
        <f t="shared" si="481"/>
        <v>10.19616056</v>
      </c>
      <c r="H483" s="20">
        <f t="shared" si="481"/>
        <v>11.27678883</v>
      </c>
      <c r="I483" s="20">
        <f t="shared" si="481"/>
        <v>4.162303665</v>
      </c>
    </row>
    <row r="484" ht="15.75" customHeight="1">
      <c r="A484" s="10">
        <f>Dados!A486</f>
        <v>44529.66667</v>
      </c>
      <c r="B484" s="19">
        <f>Dados!B486</f>
        <v>54.58</v>
      </c>
      <c r="C484" s="19">
        <f>Dados!D486</f>
        <v>336.63</v>
      </c>
      <c r="D484" s="19">
        <f>Dados!F486</f>
        <v>379</v>
      </c>
      <c r="E484" s="19">
        <f>Dados!H486</f>
        <v>160.24</v>
      </c>
      <c r="F484" s="20">
        <f t="shared" ref="F484:I484" si="482">STANDARDIZE(B484,$L$7,$L$8)</f>
        <v>0.5940663176</v>
      </c>
      <c r="G484" s="20">
        <f t="shared" si="482"/>
        <v>10.43874346</v>
      </c>
      <c r="H484" s="20">
        <f t="shared" si="482"/>
        <v>11.91762653</v>
      </c>
      <c r="I484" s="20">
        <f t="shared" si="482"/>
        <v>4.282024433</v>
      </c>
    </row>
    <row r="485" ht="15.75" customHeight="1">
      <c r="A485" s="10">
        <f>Dados!A487</f>
        <v>44530.66667</v>
      </c>
      <c r="B485" s="19">
        <f>Dados!B487</f>
        <v>52.45</v>
      </c>
      <c r="C485" s="19">
        <f>Dados!D487</f>
        <v>330.59</v>
      </c>
      <c r="D485" s="19">
        <f>Dados!F487</f>
        <v>381.59</v>
      </c>
      <c r="E485" s="19">
        <f>Dados!H487</f>
        <v>165.3</v>
      </c>
      <c r="F485" s="20">
        <f t="shared" ref="F485:I485" si="483">STANDARDIZE(B485,$L$7,$L$8)</f>
        <v>0.5197207679</v>
      </c>
      <c r="G485" s="20">
        <f t="shared" si="483"/>
        <v>10.22792321</v>
      </c>
      <c r="H485" s="20">
        <f t="shared" si="483"/>
        <v>12.00802792</v>
      </c>
      <c r="I485" s="20">
        <f t="shared" si="483"/>
        <v>4.458638743</v>
      </c>
    </row>
    <row r="486" ht="15.75" customHeight="1">
      <c r="A486" s="10">
        <f>Dados!A488</f>
        <v>44531.66667</v>
      </c>
      <c r="B486" s="19">
        <f>Dados!B488</f>
        <v>52.3</v>
      </c>
      <c r="C486" s="19">
        <f>Dados!D488</f>
        <v>330.08</v>
      </c>
      <c r="D486" s="19">
        <f>Dados!F488</f>
        <v>365</v>
      </c>
      <c r="E486" s="19">
        <f>Dados!H488</f>
        <v>164.77</v>
      </c>
      <c r="F486" s="20">
        <f t="shared" ref="F486:I486" si="484">STANDARDIZE(B486,$L$7,$L$8)</f>
        <v>0.5144851658</v>
      </c>
      <c r="G486" s="20">
        <f t="shared" si="484"/>
        <v>10.21012216</v>
      </c>
      <c r="H486" s="20">
        <f t="shared" si="484"/>
        <v>11.42897033</v>
      </c>
      <c r="I486" s="20">
        <f t="shared" si="484"/>
        <v>4.440139616</v>
      </c>
    </row>
    <row r="487" ht="15.75" customHeight="1">
      <c r="A487" s="10">
        <f>Dados!A489</f>
        <v>44532.66667</v>
      </c>
      <c r="B487" s="19">
        <f>Dados!B489</f>
        <v>53.07</v>
      </c>
      <c r="C487" s="19">
        <f>Dados!D489</f>
        <v>329.49</v>
      </c>
      <c r="D487" s="19">
        <f>Dados!F489</f>
        <v>361.53</v>
      </c>
      <c r="E487" s="19">
        <f>Dados!H489</f>
        <v>163.76</v>
      </c>
      <c r="F487" s="20">
        <f t="shared" ref="F487:I487" si="485">STANDARDIZE(B487,$L$7,$L$8)</f>
        <v>0.5413612565</v>
      </c>
      <c r="G487" s="20">
        <f t="shared" si="485"/>
        <v>10.1895288</v>
      </c>
      <c r="H487" s="20">
        <f t="shared" si="485"/>
        <v>11.3078534</v>
      </c>
      <c r="I487" s="20">
        <f t="shared" si="485"/>
        <v>4.404886562</v>
      </c>
    </row>
    <row r="488" ht="15.75" customHeight="1">
      <c r="A488" s="10">
        <f>Dados!A490</f>
        <v>44533.66667</v>
      </c>
      <c r="B488" s="19">
        <f>Dados!B490</f>
        <v>53.54</v>
      </c>
      <c r="C488" s="19">
        <f>Dados!D490</f>
        <v>323.01</v>
      </c>
      <c r="D488" s="19">
        <f>Dados!F490</f>
        <v>338.32</v>
      </c>
      <c r="E488" s="19">
        <f>Dados!H490</f>
        <v>161.84</v>
      </c>
      <c r="F488" s="20">
        <f t="shared" ref="F488:I488" si="486">STANDARDIZE(B488,$L$7,$L$8)</f>
        <v>0.5577661431</v>
      </c>
      <c r="G488" s="20">
        <f t="shared" si="486"/>
        <v>9.963350785</v>
      </c>
      <c r="H488" s="20">
        <f t="shared" si="486"/>
        <v>10.49773124</v>
      </c>
      <c r="I488" s="20">
        <f t="shared" si="486"/>
        <v>4.337870855</v>
      </c>
    </row>
    <row r="489" ht="15.75" customHeight="1">
      <c r="A489" s="10">
        <f>Dados!A491</f>
        <v>44536.66667</v>
      </c>
      <c r="B489" s="19">
        <f>Dados!B491</f>
        <v>54.91</v>
      </c>
      <c r="C489" s="19">
        <f>Dados!D491</f>
        <v>326.19</v>
      </c>
      <c r="D489" s="19">
        <f>Dados!F491</f>
        <v>336.34</v>
      </c>
      <c r="E489" s="19">
        <f>Dados!H491</f>
        <v>165.32</v>
      </c>
      <c r="F489" s="20">
        <f t="shared" ref="F489:I489" si="487">STANDARDIZE(B489,$L$7,$L$8)</f>
        <v>0.6055846422</v>
      </c>
      <c r="G489" s="20">
        <f t="shared" si="487"/>
        <v>10.07434555</v>
      </c>
      <c r="H489" s="20">
        <f t="shared" si="487"/>
        <v>10.42862129</v>
      </c>
      <c r="I489" s="20">
        <f t="shared" si="487"/>
        <v>4.459336824</v>
      </c>
    </row>
    <row r="490" ht="15.75" customHeight="1">
      <c r="A490" s="10">
        <f>Dados!A492</f>
        <v>44537.66667</v>
      </c>
      <c r="B490" s="19">
        <f>Dados!B492</f>
        <v>55.21</v>
      </c>
      <c r="C490" s="19">
        <f>Dados!D492</f>
        <v>334.92</v>
      </c>
      <c r="D490" s="19">
        <f>Dados!F492</f>
        <v>350.58</v>
      </c>
      <c r="E490" s="19">
        <f>Dados!H492</f>
        <v>171.18</v>
      </c>
      <c r="F490" s="20">
        <f t="shared" ref="F490:I490" si="488">STANDARDIZE(B490,$L$7,$L$8)</f>
        <v>0.6160558464</v>
      </c>
      <c r="G490" s="20">
        <f t="shared" si="488"/>
        <v>10.37905759</v>
      </c>
      <c r="H490" s="20">
        <f t="shared" si="488"/>
        <v>10.92565445</v>
      </c>
      <c r="I490" s="20">
        <f t="shared" si="488"/>
        <v>4.663874346</v>
      </c>
    </row>
    <row r="491" ht="15.75" customHeight="1">
      <c r="A491" s="10">
        <f>Dados!A493</f>
        <v>44538.66667</v>
      </c>
      <c r="B491" s="19">
        <f>Dados!B493</f>
        <v>55</v>
      </c>
      <c r="C491" s="19">
        <f>Dados!D493</f>
        <v>334.97</v>
      </c>
      <c r="D491" s="19">
        <f>Dados!F493</f>
        <v>356.32</v>
      </c>
      <c r="E491" s="19">
        <f>Dados!H493</f>
        <v>175.08</v>
      </c>
      <c r="F491" s="20">
        <f t="shared" ref="F491:I491" si="489">STANDARDIZE(B491,$L$7,$L$8)</f>
        <v>0.6087260035</v>
      </c>
      <c r="G491" s="20">
        <f t="shared" si="489"/>
        <v>10.38080279</v>
      </c>
      <c r="H491" s="20">
        <f t="shared" si="489"/>
        <v>11.12600349</v>
      </c>
      <c r="I491" s="20">
        <f t="shared" si="489"/>
        <v>4.8</v>
      </c>
    </row>
    <row r="492" ht="15.75" customHeight="1">
      <c r="A492" s="10">
        <f>Dados!A494</f>
        <v>44539.66667</v>
      </c>
      <c r="B492" s="19">
        <f>Dados!B494</f>
        <v>54.86</v>
      </c>
      <c r="C492" s="19">
        <f>Dados!D494</f>
        <v>333.1</v>
      </c>
      <c r="D492" s="19">
        <f>Dados!F494</f>
        <v>334.6</v>
      </c>
      <c r="E492" s="19">
        <f>Dados!H494</f>
        <v>174.56</v>
      </c>
      <c r="F492" s="20">
        <f t="shared" ref="F492:I492" si="490">STANDARDIZE(B492,$L$7,$L$8)</f>
        <v>0.6038394415</v>
      </c>
      <c r="G492" s="20">
        <f t="shared" si="490"/>
        <v>10.31553229</v>
      </c>
      <c r="H492" s="20">
        <f t="shared" si="490"/>
        <v>10.36788831</v>
      </c>
      <c r="I492" s="20">
        <f t="shared" si="490"/>
        <v>4.781849913</v>
      </c>
    </row>
    <row r="493" ht="15.75" customHeight="1">
      <c r="A493" s="10">
        <f>Dados!A495</f>
        <v>44540.66667</v>
      </c>
      <c r="B493" s="19">
        <f>Dados!B495</f>
        <v>56.28</v>
      </c>
      <c r="C493" s="19">
        <f>Dados!D495</f>
        <v>342.54</v>
      </c>
      <c r="D493" s="19">
        <f>Dados!F495</f>
        <v>339.01</v>
      </c>
      <c r="E493" s="19">
        <f>Dados!H495</f>
        <v>179.45</v>
      </c>
      <c r="F493" s="20">
        <f t="shared" ref="F493:I493" si="491">STANDARDIZE(B493,$L$7,$L$8)</f>
        <v>0.6534031414</v>
      </c>
      <c r="G493" s="20">
        <f t="shared" si="491"/>
        <v>10.64502618</v>
      </c>
      <c r="H493" s="20">
        <f t="shared" si="491"/>
        <v>10.52181501</v>
      </c>
      <c r="I493" s="20">
        <f t="shared" si="491"/>
        <v>4.952530541</v>
      </c>
    </row>
    <row r="494" ht="15.75" customHeight="1">
      <c r="A494" s="10">
        <f>Dados!A496</f>
        <v>44543.66667</v>
      </c>
      <c r="B494" s="19">
        <f>Dados!B496</f>
        <v>57.76</v>
      </c>
      <c r="C494" s="19">
        <f>Dados!D496</f>
        <v>339.4</v>
      </c>
      <c r="D494" s="19">
        <f>Dados!F496</f>
        <v>322.14</v>
      </c>
      <c r="E494" s="19">
        <f>Dados!H496</f>
        <v>175.74</v>
      </c>
      <c r="F494" s="20">
        <f t="shared" ref="F494:I494" si="492">STANDARDIZE(B494,$L$7,$L$8)</f>
        <v>0.705061082</v>
      </c>
      <c r="G494" s="20">
        <f t="shared" si="492"/>
        <v>10.53542757</v>
      </c>
      <c r="H494" s="20">
        <f t="shared" si="492"/>
        <v>9.932984293</v>
      </c>
      <c r="I494" s="20">
        <f t="shared" si="492"/>
        <v>4.823036649</v>
      </c>
    </row>
    <row r="495" ht="15.75" customHeight="1">
      <c r="A495" s="10">
        <f>Dados!A497</f>
        <v>44544.66667</v>
      </c>
      <c r="B495" s="19">
        <f>Dados!B497</f>
        <v>57.8</v>
      </c>
      <c r="C495" s="19">
        <f>Dados!D497</f>
        <v>328.34</v>
      </c>
      <c r="D495" s="19">
        <f>Dados!F497</f>
        <v>319.5</v>
      </c>
      <c r="E495" s="19">
        <f>Dados!H497</f>
        <v>174.33</v>
      </c>
      <c r="F495" s="20">
        <f t="shared" ref="F495:I495" si="493">STANDARDIZE(B495,$L$7,$L$8)</f>
        <v>0.7064572426</v>
      </c>
      <c r="G495" s="20">
        <f t="shared" si="493"/>
        <v>10.14938918</v>
      </c>
      <c r="H495" s="20">
        <f t="shared" si="493"/>
        <v>9.840837696</v>
      </c>
      <c r="I495" s="20">
        <f t="shared" si="493"/>
        <v>4.77382199</v>
      </c>
    </row>
    <row r="496" ht="15.75" customHeight="1">
      <c r="A496" s="10">
        <f>Dados!A498</f>
        <v>44545.66667</v>
      </c>
      <c r="B496" s="19">
        <f>Dados!B498</f>
        <v>58.06</v>
      </c>
      <c r="C496" s="19">
        <f>Dados!D498</f>
        <v>334.65</v>
      </c>
      <c r="D496" s="19">
        <f>Dados!F498</f>
        <v>325.33</v>
      </c>
      <c r="E496" s="19">
        <f>Dados!H498</f>
        <v>179.3</v>
      </c>
      <c r="F496" s="20">
        <f t="shared" ref="F496:I496" si="494">STANDARDIZE(B496,$L$7,$L$8)</f>
        <v>0.7155322862</v>
      </c>
      <c r="G496" s="20">
        <f t="shared" si="494"/>
        <v>10.36963351</v>
      </c>
      <c r="H496" s="20">
        <f t="shared" si="494"/>
        <v>10.0443281</v>
      </c>
      <c r="I496" s="20">
        <f t="shared" si="494"/>
        <v>4.947294939</v>
      </c>
    </row>
    <row r="497" ht="15.75" customHeight="1">
      <c r="A497" s="10">
        <f>Dados!A499</f>
        <v>44546.66667</v>
      </c>
      <c r="B497" s="19">
        <f>Dados!B499</f>
        <v>58.65</v>
      </c>
      <c r="C497" s="19">
        <f>Dados!D499</f>
        <v>324.9</v>
      </c>
      <c r="D497" s="19">
        <f>Dados!F499</f>
        <v>308.97</v>
      </c>
      <c r="E497" s="19">
        <f>Dados!H499</f>
        <v>172.26</v>
      </c>
      <c r="F497" s="20">
        <f t="shared" ref="F497:I497" si="495">STANDARDIZE(B497,$L$7,$L$8)</f>
        <v>0.7361256545</v>
      </c>
      <c r="G497" s="20">
        <f t="shared" si="495"/>
        <v>10.02931937</v>
      </c>
      <c r="H497" s="20">
        <f t="shared" si="495"/>
        <v>9.473298429</v>
      </c>
      <c r="I497" s="20">
        <f t="shared" si="495"/>
        <v>4.701570681</v>
      </c>
    </row>
    <row r="498" ht="15.75" customHeight="1">
      <c r="A498" s="10">
        <f>Dados!A500</f>
        <v>44547.66667</v>
      </c>
      <c r="B498" s="19">
        <f>Dados!B500</f>
        <v>57.73</v>
      </c>
      <c r="C498" s="19">
        <f>Dados!D500</f>
        <v>323.8</v>
      </c>
      <c r="D498" s="19">
        <f>Dados!F500</f>
        <v>310.86</v>
      </c>
      <c r="E498" s="19">
        <f>Dados!H500</f>
        <v>171.14</v>
      </c>
      <c r="F498" s="20">
        <f t="shared" ref="F498:I498" si="496">STANDARDIZE(B498,$L$7,$L$8)</f>
        <v>0.7040139616</v>
      </c>
      <c r="G498" s="20">
        <f t="shared" si="496"/>
        <v>9.990924956</v>
      </c>
      <c r="H498" s="20">
        <f t="shared" si="496"/>
        <v>9.539267016</v>
      </c>
      <c r="I498" s="20">
        <f t="shared" si="496"/>
        <v>4.662478185</v>
      </c>
    </row>
    <row r="499" ht="15.75" customHeight="1">
      <c r="A499" s="10">
        <f>Dados!A501</f>
        <v>44550.66667</v>
      </c>
      <c r="B499" s="19">
        <f>Dados!B501</f>
        <v>57.54</v>
      </c>
      <c r="C499" s="19">
        <f>Dados!D501</f>
        <v>319.91</v>
      </c>
      <c r="D499" s="19">
        <f>Dados!F501</f>
        <v>299.98</v>
      </c>
      <c r="E499" s="19">
        <f>Dados!H501</f>
        <v>169.75</v>
      </c>
      <c r="F499" s="20">
        <f t="shared" ref="F499:I499" si="497">STANDARDIZE(B499,$L$7,$L$8)</f>
        <v>0.697382199</v>
      </c>
      <c r="G499" s="20">
        <f t="shared" si="497"/>
        <v>9.855148342</v>
      </c>
      <c r="H499" s="20">
        <f t="shared" si="497"/>
        <v>9.159511344</v>
      </c>
      <c r="I499" s="20">
        <f t="shared" si="497"/>
        <v>4.613961606</v>
      </c>
    </row>
    <row r="500" ht="15.75" customHeight="1">
      <c r="A500" s="10">
        <f>Dados!A502</f>
        <v>44551.66667</v>
      </c>
      <c r="B500" s="19">
        <f>Dados!B502</f>
        <v>57.77</v>
      </c>
      <c r="C500" s="19">
        <f>Dados!D502</f>
        <v>327.29</v>
      </c>
      <c r="D500" s="19">
        <f>Dados!F502</f>
        <v>312.84</v>
      </c>
      <c r="E500" s="19">
        <f>Dados!H502</f>
        <v>172.99</v>
      </c>
      <c r="F500" s="20">
        <f t="shared" ref="F500:I500" si="498">STANDARDIZE(B500,$L$7,$L$8)</f>
        <v>0.7054101222</v>
      </c>
      <c r="G500" s="20">
        <f t="shared" si="498"/>
        <v>10.11273997</v>
      </c>
      <c r="H500" s="20">
        <f t="shared" si="498"/>
        <v>9.608376963</v>
      </c>
      <c r="I500" s="20">
        <f t="shared" si="498"/>
        <v>4.727050611</v>
      </c>
    </row>
    <row r="501" ht="15.75" customHeight="1">
      <c r="A501" s="10">
        <f>Dados!A503</f>
        <v>44552.66667</v>
      </c>
      <c r="B501" s="19">
        <f>Dados!B503</f>
        <v>58.18</v>
      </c>
      <c r="C501" s="19">
        <f>Dados!D503</f>
        <v>333.2</v>
      </c>
      <c r="D501" s="19">
        <f>Dados!F503</f>
        <v>336.29</v>
      </c>
      <c r="E501" s="19">
        <f>Dados!H503</f>
        <v>175.64</v>
      </c>
      <c r="F501" s="20">
        <f t="shared" ref="F501:I501" si="499">STANDARDIZE(B501,$L$7,$L$8)</f>
        <v>0.7197207679</v>
      </c>
      <c r="G501" s="20">
        <f t="shared" si="499"/>
        <v>10.31902269</v>
      </c>
      <c r="H501" s="20">
        <f t="shared" si="499"/>
        <v>10.42687609</v>
      </c>
      <c r="I501" s="20">
        <f t="shared" si="499"/>
        <v>4.819546248</v>
      </c>
    </row>
    <row r="502" ht="15.75" customHeight="1">
      <c r="A502" s="10">
        <f>Dados!A504</f>
        <v>44553.66667</v>
      </c>
      <c r="B502" s="19">
        <f>Dados!B504</f>
        <v>58.22</v>
      </c>
      <c r="C502" s="19">
        <f>Dados!D504</f>
        <v>334.69</v>
      </c>
      <c r="D502" s="19">
        <f>Dados!F504</f>
        <v>355.67</v>
      </c>
      <c r="E502" s="19">
        <f>Dados!H504</f>
        <v>176.28</v>
      </c>
      <c r="F502" s="20">
        <f t="shared" ref="F502:I502" si="500">STANDARDIZE(B502,$L$7,$L$8)</f>
        <v>0.7211169284</v>
      </c>
      <c r="G502" s="20">
        <f t="shared" si="500"/>
        <v>10.37102967</v>
      </c>
      <c r="H502" s="20">
        <f t="shared" si="500"/>
        <v>11.10331588</v>
      </c>
      <c r="I502" s="20">
        <f t="shared" si="500"/>
        <v>4.841884817</v>
      </c>
    </row>
    <row r="503" ht="15.75" customHeight="1">
      <c r="A503" s="10">
        <f>Dados!A505</f>
        <v>44557.66667</v>
      </c>
      <c r="B503" s="19">
        <f>Dados!B505</f>
        <v>58.65</v>
      </c>
      <c r="C503" s="19">
        <f>Dados!D505</f>
        <v>342.45</v>
      </c>
      <c r="D503" s="19">
        <f>Dados!F505</f>
        <v>364.65</v>
      </c>
      <c r="E503" s="19">
        <f>Dados!H505</f>
        <v>180.33</v>
      </c>
      <c r="F503" s="20">
        <f t="shared" ref="F503:I503" si="501">STANDARDIZE(B503,$L$7,$L$8)</f>
        <v>0.7361256545</v>
      </c>
      <c r="G503" s="20">
        <f t="shared" si="501"/>
        <v>10.64188482</v>
      </c>
      <c r="H503" s="20">
        <f t="shared" si="501"/>
        <v>11.41675393</v>
      </c>
      <c r="I503" s="20">
        <f t="shared" si="501"/>
        <v>4.983246073</v>
      </c>
    </row>
    <row r="504" ht="15.75" customHeight="1">
      <c r="A504" s="10">
        <f>Dados!A506</f>
        <v>44558.66667</v>
      </c>
      <c r="B504" s="19">
        <f>Dados!B506</f>
        <v>58.88</v>
      </c>
      <c r="C504" s="19">
        <f>Dados!D506</f>
        <v>341.25</v>
      </c>
      <c r="D504" s="19">
        <f>Dados!F506</f>
        <v>362.82</v>
      </c>
      <c r="E504" s="19">
        <f>Dados!H506</f>
        <v>179.29</v>
      </c>
      <c r="F504" s="20">
        <f t="shared" ref="F504:I504" si="502">STANDARDIZE(B504,$L$7,$L$8)</f>
        <v>0.7441535777</v>
      </c>
      <c r="G504" s="20">
        <f t="shared" si="502"/>
        <v>10.6</v>
      </c>
      <c r="H504" s="20">
        <f t="shared" si="502"/>
        <v>11.35287958</v>
      </c>
      <c r="I504" s="20">
        <f t="shared" si="502"/>
        <v>4.946945899</v>
      </c>
    </row>
    <row r="505" ht="15.75" customHeight="1">
      <c r="A505" s="10">
        <f>Dados!A507</f>
        <v>44559.66667</v>
      </c>
      <c r="B505" s="19">
        <f>Dados!B507</f>
        <v>58.95</v>
      </c>
      <c r="C505" s="19">
        <f>Dados!D507</f>
        <v>341.95</v>
      </c>
      <c r="D505" s="19">
        <f>Dados!F507</f>
        <v>362.06</v>
      </c>
      <c r="E505" s="19">
        <f>Dados!H507</f>
        <v>179.38</v>
      </c>
      <c r="F505" s="20">
        <f t="shared" ref="F505:I505" si="503">STANDARDIZE(B505,$L$7,$L$8)</f>
        <v>0.7465968586</v>
      </c>
      <c r="G505" s="20">
        <f t="shared" si="503"/>
        <v>10.62443281</v>
      </c>
      <c r="H505" s="20">
        <f t="shared" si="503"/>
        <v>11.32635253</v>
      </c>
      <c r="I505" s="20">
        <f t="shared" si="503"/>
        <v>4.95008726</v>
      </c>
    </row>
    <row r="506" ht="15.75" customHeight="1">
      <c r="A506" s="10">
        <f>Dados!A508</f>
        <v>44560.66667</v>
      </c>
      <c r="B506" s="19">
        <f>Dados!B508</f>
        <v>58.78</v>
      </c>
      <c r="C506" s="19">
        <f>Dados!D508</f>
        <v>339.32</v>
      </c>
      <c r="D506" s="19">
        <f>Dados!F508</f>
        <v>356.78</v>
      </c>
      <c r="E506" s="19">
        <f>Dados!H508</f>
        <v>178.2</v>
      </c>
      <c r="F506" s="20">
        <f t="shared" ref="F506:I506" si="504">STANDARDIZE(B506,$L$7,$L$8)</f>
        <v>0.7406631763</v>
      </c>
      <c r="G506" s="20">
        <f t="shared" si="504"/>
        <v>10.53263525</v>
      </c>
      <c r="H506" s="20">
        <f t="shared" si="504"/>
        <v>11.14205934</v>
      </c>
      <c r="I506" s="20">
        <f t="shared" si="504"/>
        <v>4.908900524</v>
      </c>
    </row>
    <row r="507" ht="15.75" customHeight="1">
      <c r="A507" s="10">
        <f>Dados!A509</f>
        <v>44561.66667</v>
      </c>
      <c r="B507" s="19">
        <f>Dados!B509</f>
        <v>59.21</v>
      </c>
      <c r="C507" s="19">
        <f>Dados!D509</f>
        <v>336.32</v>
      </c>
      <c r="D507" s="19">
        <f>Dados!F509</f>
        <v>352.26</v>
      </c>
      <c r="E507" s="19">
        <f>Dados!H509</f>
        <v>177.57</v>
      </c>
      <c r="F507" s="20">
        <f t="shared" ref="F507:I507" si="505">STANDARDIZE(B507,$L$7,$L$8)</f>
        <v>0.7556719023</v>
      </c>
      <c r="G507" s="20">
        <f t="shared" si="505"/>
        <v>10.42792321</v>
      </c>
      <c r="H507" s="20">
        <f t="shared" si="505"/>
        <v>10.98429319</v>
      </c>
      <c r="I507" s="20">
        <f t="shared" si="505"/>
        <v>4.886910995</v>
      </c>
    </row>
    <row r="508" ht="15.75" customHeight="1">
      <c r="A508" s="10">
        <f>Dados!A510</f>
        <v>44564.66667</v>
      </c>
      <c r="B508" s="19">
        <f>Dados!B510</f>
        <v>59.3</v>
      </c>
      <c r="C508" s="19">
        <f>Dados!D510</f>
        <v>334.75</v>
      </c>
      <c r="D508" s="19">
        <f>Dados!F510</f>
        <v>399.93</v>
      </c>
      <c r="E508" s="19">
        <f>Dados!H510</f>
        <v>182.01</v>
      </c>
      <c r="F508" s="20">
        <f t="shared" ref="F508:I508" si="506">STANDARDIZE(B508,$L$7,$L$8)</f>
        <v>0.7588132635</v>
      </c>
      <c r="G508" s="20">
        <f t="shared" si="506"/>
        <v>10.37312391</v>
      </c>
      <c r="H508" s="20">
        <f t="shared" si="506"/>
        <v>12.64816754</v>
      </c>
      <c r="I508" s="20">
        <f t="shared" si="506"/>
        <v>5.041884817</v>
      </c>
    </row>
    <row r="509" ht="15.75" customHeight="1">
      <c r="A509" s="10">
        <f>Dados!A511</f>
        <v>44565.66667</v>
      </c>
      <c r="B509" s="19">
        <f>Dados!B511</f>
        <v>60.29</v>
      </c>
      <c r="C509" s="19">
        <f>Dados!D511</f>
        <v>329.01</v>
      </c>
      <c r="D509" s="19">
        <f>Dados!F511</f>
        <v>383.2</v>
      </c>
      <c r="E509" s="19">
        <f>Dados!H511</f>
        <v>179.7</v>
      </c>
      <c r="F509" s="20">
        <f t="shared" ref="F509:I509" si="507">STANDARDIZE(B509,$L$7,$L$8)</f>
        <v>0.7933682373</v>
      </c>
      <c r="G509" s="20">
        <f t="shared" si="507"/>
        <v>10.17277487</v>
      </c>
      <c r="H509" s="20">
        <f t="shared" si="507"/>
        <v>12.06422339</v>
      </c>
      <c r="I509" s="20">
        <f t="shared" si="507"/>
        <v>4.961256545</v>
      </c>
    </row>
    <row r="510" ht="15.75" customHeight="1">
      <c r="A510" s="10">
        <f>Dados!A512</f>
        <v>44566.66667</v>
      </c>
      <c r="B510" s="19">
        <f>Dados!B512</f>
        <v>60.79</v>
      </c>
      <c r="C510" s="19">
        <f>Dados!D512</f>
        <v>316.38</v>
      </c>
      <c r="D510" s="19">
        <f>Dados!F512</f>
        <v>362.71</v>
      </c>
      <c r="E510" s="19">
        <f>Dados!H512</f>
        <v>174.92</v>
      </c>
      <c r="F510" s="20">
        <f t="shared" ref="F510:I510" si="508">STANDARDIZE(B510,$L$7,$L$8)</f>
        <v>0.8108202443</v>
      </c>
      <c r="G510" s="20">
        <f t="shared" si="508"/>
        <v>9.731937173</v>
      </c>
      <c r="H510" s="20">
        <f t="shared" si="508"/>
        <v>11.34904014</v>
      </c>
      <c r="I510" s="20">
        <f t="shared" si="508"/>
        <v>4.794415358</v>
      </c>
    </row>
    <row r="511" ht="15.75" customHeight="1">
      <c r="A511" s="10">
        <f>Dados!A513</f>
        <v>44567.66667</v>
      </c>
      <c r="B511" s="19">
        <f>Dados!B513</f>
        <v>60.47</v>
      </c>
      <c r="C511" s="19">
        <f>Dados!D513</f>
        <v>313.88</v>
      </c>
      <c r="D511" s="19">
        <f>Dados!F513</f>
        <v>354.9</v>
      </c>
      <c r="E511" s="19">
        <f>Dados!H513</f>
        <v>172</v>
      </c>
      <c r="F511" s="20">
        <f t="shared" ref="F511:I511" si="509">STANDARDIZE(B511,$L$7,$L$8)</f>
        <v>0.7996509599</v>
      </c>
      <c r="G511" s="20">
        <f t="shared" si="509"/>
        <v>9.644677138</v>
      </c>
      <c r="H511" s="20">
        <f t="shared" si="509"/>
        <v>11.07643979</v>
      </c>
      <c r="I511" s="20">
        <f t="shared" si="509"/>
        <v>4.692495637</v>
      </c>
    </row>
    <row r="512" ht="15.75" customHeight="1">
      <c r="A512" s="10">
        <f>Dados!A514</f>
        <v>44568.66667</v>
      </c>
      <c r="B512" s="19">
        <f>Dados!B514</f>
        <v>60.33</v>
      </c>
      <c r="C512" s="19">
        <f>Dados!D514</f>
        <v>314.04</v>
      </c>
      <c r="D512" s="19">
        <f>Dados!F514</f>
        <v>342.32</v>
      </c>
      <c r="E512" s="19">
        <f>Dados!H514</f>
        <v>172.17</v>
      </c>
      <c r="F512" s="20">
        <f t="shared" ref="F512:I512" si="510">STANDARDIZE(B512,$L$7,$L$8)</f>
        <v>0.7947643979</v>
      </c>
      <c r="G512" s="20">
        <f t="shared" si="510"/>
        <v>9.65026178</v>
      </c>
      <c r="H512" s="20">
        <f t="shared" si="510"/>
        <v>10.63734729</v>
      </c>
      <c r="I512" s="20">
        <f t="shared" si="510"/>
        <v>4.698429319</v>
      </c>
    </row>
    <row r="513" ht="15.75" customHeight="1">
      <c r="A513" s="10">
        <f>Dados!A515</f>
        <v>44571.66667</v>
      </c>
      <c r="B513" s="19">
        <f>Dados!B515</f>
        <v>60.43</v>
      </c>
      <c r="C513" s="19">
        <f>Dados!D515</f>
        <v>314.27</v>
      </c>
      <c r="D513" s="19">
        <f>Dados!F515</f>
        <v>352.71</v>
      </c>
      <c r="E513" s="19">
        <f>Dados!H515</f>
        <v>172.19</v>
      </c>
      <c r="F513" s="20">
        <f t="shared" ref="F513:I513" si="511">STANDARDIZE(B513,$L$7,$L$8)</f>
        <v>0.7982547993</v>
      </c>
      <c r="G513" s="20">
        <f t="shared" si="511"/>
        <v>9.658289703</v>
      </c>
      <c r="H513" s="20">
        <f t="shared" si="511"/>
        <v>11</v>
      </c>
      <c r="I513" s="20">
        <f t="shared" si="511"/>
        <v>4.6991274</v>
      </c>
    </row>
    <row r="514" ht="15.75" customHeight="1">
      <c r="A514" s="10">
        <f>Dados!A516</f>
        <v>44572.66667</v>
      </c>
      <c r="B514" s="19">
        <f>Dados!B516</f>
        <v>60.45</v>
      </c>
      <c r="C514" s="19">
        <f>Dados!D516</f>
        <v>314.98</v>
      </c>
      <c r="D514" s="19">
        <f>Dados!F516</f>
        <v>354.8</v>
      </c>
      <c r="E514" s="19">
        <f>Dados!H516</f>
        <v>175.08</v>
      </c>
      <c r="F514" s="20">
        <f t="shared" ref="F514:I514" si="512">STANDARDIZE(B514,$L$7,$L$8)</f>
        <v>0.7989528796</v>
      </c>
      <c r="G514" s="20">
        <f t="shared" si="512"/>
        <v>9.683071553</v>
      </c>
      <c r="H514" s="20">
        <f t="shared" si="512"/>
        <v>11.07294939</v>
      </c>
      <c r="I514" s="20">
        <f t="shared" si="512"/>
        <v>4.8</v>
      </c>
    </row>
    <row r="515" ht="15.75" customHeight="1">
      <c r="A515" s="10">
        <f>Dados!A517</f>
        <v>44573.66667</v>
      </c>
      <c r="B515" s="19">
        <f>Dados!B517</f>
        <v>60.54</v>
      </c>
      <c r="C515" s="19">
        <f>Dados!D517</f>
        <v>318.27</v>
      </c>
      <c r="D515" s="19">
        <f>Dados!F517</f>
        <v>368.74</v>
      </c>
      <c r="E515" s="19">
        <f>Dados!H517</f>
        <v>175.53</v>
      </c>
      <c r="F515" s="20">
        <f t="shared" ref="F515:I515" si="513">STANDARDIZE(B515,$L$7,$L$8)</f>
        <v>0.8020942408</v>
      </c>
      <c r="G515" s="20">
        <f t="shared" si="513"/>
        <v>9.797905759</v>
      </c>
      <c r="H515" s="20">
        <f t="shared" si="513"/>
        <v>11.55951134</v>
      </c>
      <c r="I515" s="20">
        <f t="shared" si="513"/>
        <v>4.815706806</v>
      </c>
    </row>
    <row r="516" ht="15.75" customHeight="1">
      <c r="A516" s="10">
        <f>Dados!A518</f>
        <v>44574.66667</v>
      </c>
      <c r="B516" s="19">
        <f>Dados!B518</f>
        <v>60.9</v>
      </c>
      <c r="C516" s="19">
        <f>Dados!D518</f>
        <v>304.8</v>
      </c>
      <c r="D516" s="19">
        <f>Dados!F518</f>
        <v>343.85</v>
      </c>
      <c r="E516" s="19">
        <f>Dados!H518</f>
        <v>172.19</v>
      </c>
      <c r="F516" s="20">
        <f t="shared" ref="F516:I516" si="514">STANDARDIZE(B516,$L$7,$L$8)</f>
        <v>0.8146596859</v>
      </c>
      <c r="G516" s="20">
        <f t="shared" si="514"/>
        <v>9.327748691</v>
      </c>
      <c r="H516" s="20">
        <f t="shared" si="514"/>
        <v>10.69075044</v>
      </c>
      <c r="I516" s="20">
        <f t="shared" si="514"/>
        <v>4.6991274</v>
      </c>
    </row>
    <row r="517" ht="15.75" customHeight="1">
      <c r="A517" s="10">
        <f>Dados!A519</f>
        <v>44575.66667</v>
      </c>
      <c r="B517" s="19">
        <f>Dados!B519</f>
        <v>61.39</v>
      </c>
      <c r="C517" s="19">
        <f>Dados!D519</f>
        <v>310.2</v>
      </c>
      <c r="D517" s="19">
        <f>Dados!F519</f>
        <v>349.87</v>
      </c>
      <c r="E517" s="19">
        <f>Dados!H519</f>
        <v>173.07</v>
      </c>
      <c r="F517" s="20">
        <f t="shared" ref="F517:I517" si="515">STANDARDIZE(B517,$L$7,$L$8)</f>
        <v>0.8317626527</v>
      </c>
      <c r="G517" s="20">
        <f t="shared" si="515"/>
        <v>9.516230366</v>
      </c>
      <c r="H517" s="20">
        <f t="shared" si="515"/>
        <v>10.9008726</v>
      </c>
      <c r="I517" s="20">
        <f t="shared" si="515"/>
        <v>4.729842932</v>
      </c>
    </row>
    <row r="518" ht="15.75" customHeight="1">
      <c r="A518" s="10">
        <f>Dados!A520</f>
        <v>44579.66667</v>
      </c>
      <c r="B518" s="19">
        <f>Dados!B520</f>
        <v>60.9</v>
      </c>
      <c r="C518" s="19">
        <f>Dados!D520</f>
        <v>302.65</v>
      </c>
      <c r="D518" s="19">
        <f>Dados!F520</f>
        <v>343.5</v>
      </c>
      <c r="E518" s="19">
        <f>Dados!H520</f>
        <v>169.8</v>
      </c>
      <c r="F518" s="20">
        <f t="shared" ref="F518:I518" si="516">STANDARDIZE(B518,$L$7,$L$8)</f>
        <v>0.8146596859</v>
      </c>
      <c r="G518" s="20">
        <f t="shared" si="516"/>
        <v>9.252705061</v>
      </c>
      <c r="H518" s="20">
        <f t="shared" si="516"/>
        <v>10.67853403</v>
      </c>
      <c r="I518" s="20">
        <f t="shared" si="516"/>
        <v>4.615706806</v>
      </c>
    </row>
    <row r="519" ht="15.75" customHeight="1">
      <c r="A519" s="10">
        <f>Dados!A521</f>
        <v>44580.66667</v>
      </c>
      <c r="B519" s="19">
        <f>Dados!B521</f>
        <v>61</v>
      </c>
      <c r="C519" s="19">
        <f>Dados!D521</f>
        <v>303.33</v>
      </c>
      <c r="D519" s="19">
        <f>Dados!F521</f>
        <v>331.88</v>
      </c>
      <c r="E519" s="19">
        <f>Dados!H521</f>
        <v>166.23</v>
      </c>
      <c r="F519" s="20">
        <f t="shared" ref="F519:I519" si="517">STANDARDIZE(B519,$L$7,$L$8)</f>
        <v>0.8181500873</v>
      </c>
      <c r="G519" s="20">
        <f t="shared" si="517"/>
        <v>9.276439791</v>
      </c>
      <c r="H519" s="20">
        <f t="shared" si="517"/>
        <v>10.27294939</v>
      </c>
      <c r="I519" s="20">
        <f t="shared" si="517"/>
        <v>4.491099476</v>
      </c>
    </row>
    <row r="520" ht="15.75" customHeight="1">
      <c r="A520" s="10">
        <f>Dados!A522</f>
        <v>44581.66667</v>
      </c>
      <c r="B520" s="19">
        <f>Dados!B522</f>
        <v>60.75</v>
      </c>
      <c r="C520" s="19">
        <f>Dados!D522</f>
        <v>301.6</v>
      </c>
      <c r="D520" s="19">
        <f>Dados!F522</f>
        <v>332.09</v>
      </c>
      <c r="E520" s="19">
        <f>Dados!H522</f>
        <v>164.51</v>
      </c>
      <c r="F520" s="20">
        <f t="shared" ref="F520:I520" si="518">STANDARDIZE(B520,$L$7,$L$8)</f>
        <v>0.8094240838</v>
      </c>
      <c r="G520" s="20">
        <f t="shared" si="518"/>
        <v>9.216055846</v>
      </c>
      <c r="H520" s="20">
        <f t="shared" si="518"/>
        <v>10.28027923</v>
      </c>
      <c r="I520" s="20">
        <f t="shared" si="518"/>
        <v>4.431064572</v>
      </c>
    </row>
    <row r="521" ht="15.75" customHeight="1">
      <c r="A521" s="10">
        <f>Dados!A523</f>
        <v>44582.66667</v>
      </c>
      <c r="B521" s="19">
        <f>Dados!B523</f>
        <v>60.45</v>
      </c>
      <c r="C521" s="19">
        <f>Dados!D523</f>
        <v>296.03</v>
      </c>
      <c r="D521" s="19">
        <f>Dados!F523</f>
        <v>314.63</v>
      </c>
      <c r="E521" s="19">
        <f>Dados!H523</f>
        <v>162.41</v>
      </c>
      <c r="F521" s="20">
        <f t="shared" ref="F521:I521" si="519">STANDARDIZE(B521,$L$7,$L$8)</f>
        <v>0.7989528796</v>
      </c>
      <c r="G521" s="20">
        <f t="shared" si="519"/>
        <v>9.021640489</v>
      </c>
      <c r="H521" s="20">
        <f t="shared" si="519"/>
        <v>9.670855148</v>
      </c>
      <c r="I521" s="20">
        <f t="shared" si="519"/>
        <v>4.357766143</v>
      </c>
    </row>
    <row r="522" ht="15.75" customHeight="1">
      <c r="A522" s="10">
        <f>Dados!A524</f>
        <v>44585.66667</v>
      </c>
      <c r="B522" s="19">
        <f>Dados!B524</f>
        <v>59.96</v>
      </c>
      <c r="C522" s="19">
        <f>Dados!D524</f>
        <v>296.37</v>
      </c>
      <c r="D522" s="19">
        <f>Dados!F524</f>
        <v>310</v>
      </c>
      <c r="E522" s="19">
        <f>Dados!H524</f>
        <v>161.62</v>
      </c>
      <c r="F522" s="20">
        <f t="shared" ref="F522:I522" si="520">STANDARDIZE(B522,$L$7,$L$8)</f>
        <v>0.7818499127</v>
      </c>
      <c r="G522" s="20">
        <f t="shared" si="520"/>
        <v>9.033507853</v>
      </c>
      <c r="H522" s="20">
        <f t="shared" si="520"/>
        <v>9.509249564</v>
      </c>
      <c r="I522" s="20">
        <f t="shared" si="520"/>
        <v>4.330191972</v>
      </c>
    </row>
    <row r="523" ht="15.75" customHeight="1">
      <c r="A523" s="10">
        <f>Dados!A525</f>
        <v>44586.66667</v>
      </c>
      <c r="B523" s="19">
        <f>Dados!B525</f>
        <v>59.82</v>
      </c>
      <c r="C523" s="19">
        <f>Dados!D525</f>
        <v>288.49</v>
      </c>
      <c r="D523" s="19">
        <f>Dados!F525</f>
        <v>306.13</v>
      </c>
      <c r="E523" s="19">
        <f>Dados!H525</f>
        <v>159.78</v>
      </c>
      <c r="F523" s="20">
        <f t="shared" ref="F523:I523" si="521">STANDARDIZE(B523,$L$7,$L$8)</f>
        <v>0.7769633508</v>
      </c>
      <c r="G523" s="20">
        <f t="shared" si="521"/>
        <v>8.758464223</v>
      </c>
      <c r="H523" s="20">
        <f t="shared" si="521"/>
        <v>9.37417103</v>
      </c>
      <c r="I523" s="20">
        <f t="shared" si="521"/>
        <v>4.265968586</v>
      </c>
    </row>
    <row r="524" ht="15.75" customHeight="1">
      <c r="A524" s="10">
        <f>Dados!A526</f>
        <v>44587.66667</v>
      </c>
      <c r="B524" s="19">
        <f>Dados!B526</f>
        <v>59.6</v>
      </c>
      <c r="C524" s="19">
        <f>Dados!D526</f>
        <v>296.71</v>
      </c>
      <c r="D524" s="19">
        <f>Dados!F526</f>
        <v>312.47</v>
      </c>
      <c r="E524" s="19">
        <f>Dados!H526</f>
        <v>159.69</v>
      </c>
      <c r="F524" s="20">
        <f t="shared" ref="F524:I524" si="522">STANDARDIZE(B524,$L$7,$L$8)</f>
        <v>0.7692844677</v>
      </c>
      <c r="G524" s="20">
        <f t="shared" si="522"/>
        <v>9.045375218</v>
      </c>
      <c r="H524" s="20">
        <f t="shared" si="522"/>
        <v>9.595462478</v>
      </c>
      <c r="I524" s="20">
        <f t="shared" si="522"/>
        <v>4.262827225</v>
      </c>
    </row>
    <row r="525" ht="15.75" customHeight="1">
      <c r="A525" s="10">
        <f>Dados!A527</f>
        <v>44588.66667</v>
      </c>
      <c r="B525" s="19">
        <f>Dados!B527</f>
        <v>59.65</v>
      </c>
      <c r="C525" s="19">
        <f>Dados!D527</f>
        <v>299.84</v>
      </c>
      <c r="D525" s="19">
        <f>Dados!F527</f>
        <v>276.37</v>
      </c>
      <c r="E525" s="19">
        <f>Dados!H527</f>
        <v>159.22</v>
      </c>
      <c r="F525" s="20">
        <f t="shared" ref="F525:I525" si="523">STANDARDIZE(B525,$L$7,$L$8)</f>
        <v>0.7710296684</v>
      </c>
      <c r="G525" s="20">
        <f t="shared" si="523"/>
        <v>9.154624782</v>
      </c>
      <c r="H525" s="20">
        <f t="shared" si="523"/>
        <v>8.335427574</v>
      </c>
      <c r="I525" s="20">
        <f t="shared" si="523"/>
        <v>4.246422339</v>
      </c>
    </row>
    <row r="526" ht="15.75" customHeight="1">
      <c r="A526" s="10">
        <f>Dados!A528</f>
        <v>44589.66667</v>
      </c>
      <c r="B526" s="19">
        <f>Dados!B528</f>
        <v>60.84</v>
      </c>
      <c r="C526" s="19">
        <f>Dados!D528</f>
        <v>308.26</v>
      </c>
      <c r="D526" s="19">
        <f>Dados!F528</f>
        <v>282.12</v>
      </c>
      <c r="E526" s="19">
        <f>Dados!H528</f>
        <v>170.33</v>
      </c>
      <c r="F526" s="20">
        <f t="shared" ref="F526:I526" si="524">STANDARDIZE(B526,$L$7,$L$8)</f>
        <v>0.812565445</v>
      </c>
      <c r="G526" s="20">
        <f t="shared" si="524"/>
        <v>9.448516579</v>
      </c>
      <c r="H526" s="20">
        <f t="shared" si="524"/>
        <v>8.536125654</v>
      </c>
      <c r="I526" s="20">
        <f t="shared" si="524"/>
        <v>4.634205934</v>
      </c>
    </row>
    <row r="527" ht="15.75" customHeight="1">
      <c r="A527" s="10">
        <f>Dados!A529</f>
        <v>44592.66667</v>
      </c>
      <c r="B527" s="19">
        <f>Dados!B529</f>
        <v>61.01</v>
      </c>
      <c r="C527" s="19">
        <f>Dados!D529</f>
        <v>310.98</v>
      </c>
      <c r="D527" s="19">
        <f>Dados!F529</f>
        <v>312.24</v>
      </c>
      <c r="E527" s="19">
        <f>Dados!H529</f>
        <v>174.78</v>
      </c>
      <c r="F527" s="20">
        <f t="shared" ref="F527:I527" si="525">STANDARDIZE(B527,$L$7,$L$8)</f>
        <v>0.8184991274</v>
      </c>
      <c r="G527" s="20">
        <f t="shared" si="525"/>
        <v>9.543455497</v>
      </c>
      <c r="H527" s="20">
        <f t="shared" si="525"/>
        <v>9.587434555</v>
      </c>
      <c r="I527" s="20">
        <f t="shared" si="525"/>
        <v>4.789528796</v>
      </c>
    </row>
    <row r="528" ht="15.75" customHeight="1">
      <c r="A528" s="10">
        <f>Dados!A530</f>
        <v>44593.66667</v>
      </c>
      <c r="B528" s="19">
        <f>Dados!B530</f>
        <v>60.56</v>
      </c>
      <c r="C528" s="19">
        <f>Dados!D530</f>
        <v>308.76</v>
      </c>
      <c r="D528" s="19">
        <f>Dados!F530</f>
        <v>310.42</v>
      </c>
      <c r="E528" s="19">
        <f>Dados!H530</f>
        <v>174.61</v>
      </c>
      <c r="F528" s="20">
        <f t="shared" ref="F528:I528" si="526">STANDARDIZE(B528,$L$7,$L$8)</f>
        <v>0.8027923211</v>
      </c>
      <c r="G528" s="20">
        <f t="shared" si="526"/>
        <v>9.465968586</v>
      </c>
      <c r="H528" s="20">
        <f t="shared" si="526"/>
        <v>9.52390925</v>
      </c>
      <c r="I528" s="20">
        <f t="shared" si="526"/>
        <v>4.783595113</v>
      </c>
    </row>
    <row r="529" ht="15.75" customHeight="1">
      <c r="A529" s="10">
        <f>Dados!A531</f>
        <v>44594.66667</v>
      </c>
      <c r="B529" s="19">
        <f>Dados!B531</f>
        <v>61.18</v>
      </c>
      <c r="C529" s="19">
        <f>Dados!D531</f>
        <v>313.46</v>
      </c>
      <c r="D529" s="19">
        <f>Dados!F531</f>
        <v>301.89</v>
      </c>
      <c r="E529" s="19">
        <f>Dados!H531</f>
        <v>175.84</v>
      </c>
      <c r="F529" s="20">
        <f t="shared" ref="F529:I529" si="527">STANDARDIZE(B529,$L$7,$L$8)</f>
        <v>0.8244328098</v>
      </c>
      <c r="G529" s="20">
        <f t="shared" si="527"/>
        <v>9.630017452</v>
      </c>
      <c r="H529" s="20">
        <f t="shared" si="527"/>
        <v>9.22617801</v>
      </c>
      <c r="I529" s="20">
        <f t="shared" si="527"/>
        <v>4.826527051</v>
      </c>
    </row>
    <row r="530" ht="15.75" customHeight="1">
      <c r="A530" s="10">
        <f>Dados!A532</f>
        <v>44595.66667</v>
      </c>
      <c r="B530" s="19">
        <f>Dados!B532</f>
        <v>61.61</v>
      </c>
      <c r="C530" s="19">
        <f>Dados!D532</f>
        <v>301.25</v>
      </c>
      <c r="D530" s="19">
        <f>Dados!F532</f>
        <v>297.05</v>
      </c>
      <c r="E530" s="19">
        <f>Dados!H532</f>
        <v>172.9</v>
      </c>
      <c r="F530" s="20">
        <f t="shared" ref="F530:I530" si="528">STANDARDIZE(B530,$L$7,$L$8)</f>
        <v>0.8394415358</v>
      </c>
      <c r="G530" s="20">
        <f t="shared" si="528"/>
        <v>9.203839442</v>
      </c>
      <c r="H530" s="20">
        <f t="shared" si="528"/>
        <v>9.057242583</v>
      </c>
      <c r="I530" s="20">
        <f t="shared" si="528"/>
        <v>4.72390925</v>
      </c>
    </row>
    <row r="531" ht="15.75" customHeight="1">
      <c r="A531" s="10">
        <f>Dados!A533</f>
        <v>44596.66667</v>
      </c>
      <c r="B531" s="19">
        <f>Dados!B533</f>
        <v>60.96</v>
      </c>
      <c r="C531" s="19">
        <f>Dados!D533</f>
        <v>305.94</v>
      </c>
      <c r="D531" s="19">
        <f>Dados!F533</f>
        <v>307.77</v>
      </c>
      <c r="E531" s="19">
        <f>Dados!H533</f>
        <v>172.39</v>
      </c>
      <c r="F531" s="20">
        <f t="shared" ref="F531:I531" si="529">STANDARDIZE(B531,$L$7,$L$8)</f>
        <v>0.8167539267</v>
      </c>
      <c r="G531" s="20">
        <f t="shared" si="529"/>
        <v>9.367539267</v>
      </c>
      <c r="H531" s="20">
        <f t="shared" si="529"/>
        <v>9.431413613</v>
      </c>
      <c r="I531" s="20">
        <f t="shared" si="529"/>
        <v>4.706108202</v>
      </c>
    </row>
    <row r="532" ht="15.75" customHeight="1">
      <c r="A532" s="10">
        <f>Dados!A534</f>
        <v>44599.66667</v>
      </c>
      <c r="B532" s="19">
        <f>Dados!B534</f>
        <v>61.6</v>
      </c>
      <c r="C532" s="19">
        <f>Dados!D534</f>
        <v>300.95</v>
      </c>
      <c r="D532" s="19">
        <f>Dados!F534</f>
        <v>302.45</v>
      </c>
      <c r="E532" s="19">
        <f>Dados!H534</f>
        <v>171.66</v>
      </c>
      <c r="F532" s="20">
        <f t="shared" ref="F532:I532" si="530">STANDARDIZE(B532,$L$7,$L$8)</f>
        <v>0.8390924956</v>
      </c>
      <c r="G532" s="20">
        <f t="shared" si="530"/>
        <v>9.193368237</v>
      </c>
      <c r="H532" s="20">
        <f t="shared" si="530"/>
        <v>9.245724258</v>
      </c>
      <c r="I532" s="20">
        <f t="shared" si="530"/>
        <v>4.680628272</v>
      </c>
    </row>
    <row r="533" ht="15.75" customHeight="1">
      <c r="A533" s="10">
        <f>Dados!A535</f>
        <v>44600.66667</v>
      </c>
      <c r="B533" s="19">
        <f>Dados!B535</f>
        <v>62</v>
      </c>
      <c r="C533" s="19">
        <f>Dados!D535</f>
        <v>304.56</v>
      </c>
      <c r="D533" s="19">
        <f>Dados!F535</f>
        <v>307.33</v>
      </c>
      <c r="E533" s="19">
        <f>Dados!H535</f>
        <v>174.83</v>
      </c>
      <c r="F533" s="20">
        <f t="shared" ref="F533:I533" si="531">STANDARDIZE(B533,$L$7,$L$8)</f>
        <v>0.8530541012</v>
      </c>
      <c r="G533" s="20">
        <f t="shared" si="531"/>
        <v>9.319371728</v>
      </c>
      <c r="H533" s="20">
        <f t="shared" si="531"/>
        <v>9.416055846</v>
      </c>
      <c r="I533" s="20">
        <f t="shared" si="531"/>
        <v>4.791273997</v>
      </c>
    </row>
    <row r="534" ht="15.75" customHeight="1">
      <c r="A534" s="10">
        <f>Dados!A536</f>
        <v>44601.66667</v>
      </c>
      <c r="B534" s="19">
        <f>Dados!B536</f>
        <v>61.04</v>
      </c>
      <c r="C534" s="19">
        <f>Dados!D536</f>
        <v>311.21</v>
      </c>
      <c r="D534" s="19">
        <f>Dados!F536</f>
        <v>310.67</v>
      </c>
      <c r="E534" s="19">
        <f>Dados!H536</f>
        <v>176.28</v>
      </c>
      <c r="F534" s="20">
        <f t="shared" ref="F534:I534" si="532">STANDARDIZE(B534,$L$7,$L$8)</f>
        <v>0.8195462478</v>
      </c>
      <c r="G534" s="20">
        <f t="shared" si="532"/>
        <v>9.551483421</v>
      </c>
      <c r="H534" s="20">
        <f t="shared" si="532"/>
        <v>9.532635253</v>
      </c>
      <c r="I534" s="20">
        <f t="shared" si="532"/>
        <v>4.841884817</v>
      </c>
    </row>
    <row r="535" ht="15.75" customHeight="1">
      <c r="A535" s="10">
        <f>Dados!A537</f>
        <v>44602.66667</v>
      </c>
      <c r="B535" s="19">
        <f>Dados!B537</f>
        <v>61.38</v>
      </c>
      <c r="C535" s="19">
        <f>Dados!D537</f>
        <v>302.38</v>
      </c>
      <c r="D535" s="19">
        <f>Dados!F537</f>
        <v>301.52</v>
      </c>
      <c r="E535" s="19">
        <f>Dados!H537</f>
        <v>172.12</v>
      </c>
      <c r="F535" s="20">
        <f t="shared" ref="F535:I535" si="533">STANDARDIZE(B535,$L$7,$L$8)</f>
        <v>0.8314136126</v>
      </c>
      <c r="G535" s="20">
        <f t="shared" si="533"/>
        <v>9.243280977</v>
      </c>
      <c r="H535" s="20">
        <f t="shared" si="533"/>
        <v>9.213263525</v>
      </c>
      <c r="I535" s="20">
        <f t="shared" si="533"/>
        <v>4.696684119</v>
      </c>
    </row>
    <row r="536" ht="15.75" customHeight="1">
      <c r="A536" s="10">
        <f>Dados!A538</f>
        <v>44603.66667</v>
      </c>
      <c r="B536" s="19">
        <f>Dados!B538</f>
        <v>60.29</v>
      </c>
      <c r="C536" s="19">
        <f>Dados!D538</f>
        <v>295.04</v>
      </c>
      <c r="D536" s="19">
        <f>Dados!F538</f>
        <v>286.67</v>
      </c>
      <c r="E536" s="19">
        <f>Dados!H538</f>
        <v>168.64</v>
      </c>
      <c r="F536" s="20">
        <f t="shared" ref="F536:I536" si="534">STANDARDIZE(B536,$L$7,$L$8)</f>
        <v>0.7933682373</v>
      </c>
      <c r="G536" s="20">
        <f t="shared" si="534"/>
        <v>8.987085515</v>
      </c>
      <c r="H536" s="20">
        <f t="shared" si="534"/>
        <v>8.694938918</v>
      </c>
      <c r="I536" s="20">
        <f t="shared" si="534"/>
        <v>4.57521815</v>
      </c>
    </row>
    <row r="537" ht="15.75" customHeight="1">
      <c r="A537" s="10">
        <f>Dados!A539</f>
        <v>44606.66667</v>
      </c>
      <c r="B537" s="19">
        <f>Dados!B539</f>
        <v>60.68</v>
      </c>
      <c r="C537" s="19">
        <f>Dados!D539</f>
        <v>295</v>
      </c>
      <c r="D537" s="19">
        <f>Dados!F539</f>
        <v>291.92</v>
      </c>
      <c r="E537" s="19">
        <f>Dados!H539</f>
        <v>168.88</v>
      </c>
      <c r="F537" s="20">
        <f t="shared" ref="F537:I537" si="535">STANDARDIZE(B537,$L$7,$L$8)</f>
        <v>0.8069808028</v>
      </c>
      <c r="G537" s="20">
        <f t="shared" si="535"/>
        <v>8.985689354</v>
      </c>
      <c r="H537" s="20">
        <f t="shared" si="535"/>
        <v>8.878184991</v>
      </c>
      <c r="I537" s="20">
        <f t="shared" si="535"/>
        <v>4.583595113</v>
      </c>
    </row>
    <row r="538" ht="15.75" customHeight="1">
      <c r="A538" s="10">
        <f>Dados!A540</f>
        <v>44607.66667</v>
      </c>
      <c r="B538" s="19">
        <f>Dados!B540</f>
        <v>60.91</v>
      </c>
      <c r="C538" s="19">
        <f>Dados!D540</f>
        <v>300.47</v>
      </c>
      <c r="D538" s="19">
        <f>Dados!F540</f>
        <v>307.48</v>
      </c>
      <c r="E538" s="19">
        <f>Dados!H540</f>
        <v>172.79</v>
      </c>
      <c r="F538" s="20">
        <f t="shared" ref="F538:I538" si="536">STANDARDIZE(B538,$L$7,$L$8)</f>
        <v>0.815008726</v>
      </c>
      <c r="G538" s="20">
        <f t="shared" si="536"/>
        <v>9.176614311</v>
      </c>
      <c r="H538" s="20">
        <f t="shared" si="536"/>
        <v>9.421291449</v>
      </c>
      <c r="I538" s="20">
        <f t="shared" si="536"/>
        <v>4.720069808</v>
      </c>
    </row>
    <row r="539" ht="15.75" customHeight="1">
      <c r="A539" s="10">
        <f>Dados!A541</f>
        <v>44608.66667</v>
      </c>
      <c r="B539" s="19">
        <f>Dados!B541</f>
        <v>60.9</v>
      </c>
      <c r="C539" s="19">
        <f>Dados!D541</f>
        <v>299.5</v>
      </c>
      <c r="D539" s="19">
        <f>Dados!F541</f>
        <v>307.8</v>
      </c>
      <c r="E539" s="19">
        <f>Dados!H541</f>
        <v>172.55</v>
      </c>
      <c r="F539" s="20">
        <f t="shared" ref="F539:I539" si="537">STANDARDIZE(B539,$L$7,$L$8)</f>
        <v>0.8146596859</v>
      </c>
      <c r="G539" s="20">
        <f t="shared" si="537"/>
        <v>9.142757417</v>
      </c>
      <c r="H539" s="20">
        <f t="shared" si="537"/>
        <v>9.432460733</v>
      </c>
      <c r="I539" s="20">
        <f t="shared" si="537"/>
        <v>4.711692845</v>
      </c>
    </row>
    <row r="540" ht="15.75" customHeight="1">
      <c r="A540" s="10">
        <f>Dados!A542</f>
        <v>44609.66667</v>
      </c>
      <c r="B540" s="19">
        <f>Dados!B542</f>
        <v>62.12</v>
      </c>
      <c r="C540" s="19">
        <f>Dados!D542</f>
        <v>290.73</v>
      </c>
      <c r="D540" s="19">
        <f>Dados!F542</f>
        <v>292.12</v>
      </c>
      <c r="E540" s="19">
        <f>Dados!H542</f>
        <v>168.88</v>
      </c>
      <c r="F540" s="20">
        <f t="shared" ref="F540:I540" si="538">STANDARDIZE(B540,$L$7,$L$8)</f>
        <v>0.8572425829</v>
      </c>
      <c r="G540" s="20">
        <f t="shared" si="538"/>
        <v>8.836649215</v>
      </c>
      <c r="H540" s="20">
        <f t="shared" si="538"/>
        <v>8.885165794</v>
      </c>
      <c r="I540" s="20">
        <f t="shared" si="538"/>
        <v>4.583595113</v>
      </c>
    </row>
    <row r="541" ht="15.75" customHeight="1">
      <c r="A541" s="10">
        <f>Dados!A543</f>
        <v>44610.66667</v>
      </c>
      <c r="B541" s="19">
        <f>Dados!B543</f>
        <v>62.54</v>
      </c>
      <c r="C541" s="19">
        <f>Dados!D543</f>
        <v>287.93</v>
      </c>
      <c r="D541" s="19">
        <f>Dados!F543</f>
        <v>285.66</v>
      </c>
      <c r="E541" s="19">
        <f>Dados!H543</f>
        <v>167.3</v>
      </c>
      <c r="F541" s="20">
        <f t="shared" ref="F541:I541" si="539">STANDARDIZE(B541,$L$7,$L$8)</f>
        <v>0.8719022688</v>
      </c>
      <c r="G541" s="20">
        <f t="shared" si="539"/>
        <v>8.738917976</v>
      </c>
      <c r="H541" s="20">
        <f t="shared" si="539"/>
        <v>8.659685864</v>
      </c>
      <c r="I541" s="20">
        <f t="shared" si="539"/>
        <v>4.528446771</v>
      </c>
    </row>
    <row r="542" ht="15.75" customHeight="1">
      <c r="A542" s="10">
        <f>Dados!A544</f>
        <v>44614.66667</v>
      </c>
      <c r="B542" s="19">
        <f>Dados!B544</f>
        <v>62.28</v>
      </c>
      <c r="C542" s="19">
        <f>Dados!D544</f>
        <v>287.72</v>
      </c>
      <c r="D542" s="19">
        <f>Dados!F544</f>
        <v>273.84</v>
      </c>
      <c r="E542" s="19">
        <f>Dados!H544</f>
        <v>164.32</v>
      </c>
      <c r="F542" s="20">
        <f t="shared" ref="F542:I542" si="540">STANDARDIZE(B542,$L$7,$L$8)</f>
        <v>0.8628272251</v>
      </c>
      <c r="G542" s="20">
        <f t="shared" si="540"/>
        <v>8.731588133</v>
      </c>
      <c r="H542" s="20">
        <f t="shared" si="540"/>
        <v>8.247120419</v>
      </c>
      <c r="I542" s="20">
        <f t="shared" si="540"/>
        <v>4.42443281</v>
      </c>
    </row>
    <row r="543" ht="15.75" customHeight="1">
      <c r="A543" s="10">
        <f>Dados!A545</f>
        <v>44615.66667</v>
      </c>
      <c r="B543" s="19">
        <f>Dados!B545</f>
        <v>61.59</v>
      </c>
      <c r="C543" s="19">
        <f>Dados!D545</f>
        <v>280.27</v>
      </c>
      <c r="D543" s="19">
        <f>Dados!F545</f>
        <v>254.68</v>
      </c>
      <c r="E543" s="19">
        <f>Dados!H545</f>
        <v>160.07</v>
      </c>
      <c r="F543" s="20">
        <f t="shared" ref="F543:I543" si="541">STANDARDIZE(B543,$L$7,$L$8)</f>
        <v>0.8387434555</v>
      </c>
      <c r="G543" s="20">
        <f t="shared" si="541"/>
        <v>8.471553229</v>
      </c>
      <c r="H543" s="20">
        <f t="shared" si="541"/>
        <v>7.578359511</v>
      </c>
      <c r="I543" s="20">
        <f t="shared" si="541"/>
        <v>4.27609075</v>
      </c>
    </row>
    <row r="544" ht="15.75" customHeight="1">
      <c r="A544" s="10">
        <f>Dados!A546</f>
        <v>44616.66667</v>
      </c>
      <c r="B544" s="19">
        <f>Dados!B546</f>
        <v>60.51</v>
      </c>
      <c r="C544" s="19">
        <f>Dados!D546</f>
        <v>294.59</v>
      </c>
      <c r="D544" s="19">
        <f>Dados!F546</f>
        <v>266.92</v>
      </c>
      <c r="E544" s="19">
        <f>Dados!H546</f>
        <v>162.74</v>
      </c>
      <c r="F544" s="20">
        <f t="shared" ref="F544:I544" si="542">STANDARDIZE(B544,$L$7,$L$8)</f>
        <v>0.8010471204</v>
      </c>
      <c r="G544" s="20">
        <f t="shared" si="542"/>
        <v>8.971378709</v>
      </c>
      <c r="H544" s="20">
        <f t="shared" si="542"/>
        <v>8.005584642</v>
      </c>
      <c r="I544" s="20">
        <f t="shared" si="542"/>
        <v>4.369284468</v>
      </c>
    </row>
    <row r="545" ht="15.75" customHeight="1">
      <c r="A545" s="10">
        <f>Dados!A547</f>
        <v>44617.66667</v>
      </c>
      <c r="B545" s="19">
        <f>Dados!B547</f>
        <v>62.85</v>
      </c>
      <c r="C545" s="19">
        <f>Dados!D547</f>
        <v>297.31</v>
      </c>
      <c r="D545" s="19">
        <f>Dados!F547</f>
        <v>269.96</v>
      </c>
      <c r="E545" s="19">
        <f>Dados!H547</f>
        <v>164.85</v>
      </c>
      <c r="F545" s="20">
        <f t="shared" ref="F545:I545" si="543">STANDARDIZE(B545,$L$7,$L$8)</f>
        <v>0.8827225131</v>
      </c>
      <c r="G545" s="20">
        <f t="shared" si="543"/>
        <v>9.066317627</v>
      </c>
      <c r="H545" s="20">
        <f t="shared" si="543"/>
        <v>8.111692845</v>
      </c>
      <c r="I545" s="20">
        <f t="shared" si="543"/>
        <v>4.442931937</v>
      </c>
    </row>
    <row r="546" ht="15.75" customHeight="1">
      <c r="A546" s="10">
        <f>Dados!A548</f>
        <v>44620.66667</v>
      </c>
      <c r="B546" s="19">
        <f>Dados!B548</f>
        <v>62.24</v>
      </c>
      <c r="C546" s="19">
        <f>Dados!D548</f>
        <v>298.79</v>
      </c>
      <c r="D546" s="19">
        <f>Dados!F548</f>
        <v>290.14</v>
      </c>
      <c r="E546" s="19">
        <f>Dados!H548</f>
        <v>165.12</v>
      </c>
      <c r="F546" s="20">
        <f t="shared" ref="F546:I546" si="544">STANDARDIZE(B546,$L$7,$L$8)</f>
        <v>0.8614310646</v>
      </c>
      <c r="G546" s="20">
        <f t="shared" si="544"/>
        <v>9.117975567</v>
      </c>
      <c r="H546" s="20">
        <f t="shared" si="544"/>
        <v>8.816055846</v>
      </c>
      <c r="I546" s="20">
        <f t="shared" si="544"/>
        <v>4.452356021</v>
      </c>
    </row>
    <row r="547" ht="15.75" customHeight="1">
      <c r="A547" s="10">
        <f>Dados!A549</f>
        <v>44621.66667</v>
      </c>
      <c r="B547" s="19">
        <f>Dados!B549</f>
        <v>61.97</v>
      </c>
      <c r="C547" s="19">
        <f>Dados!D549</f>
        <v>294.95</v>
      </c>
      <c r="D547" s="19">
        <f>Dados!F549</f>
        <v>288.12</v>
      </c>
      <c r="E547" s="19">
        <f>Dados!H549</f>
        <v>163.2</v>
      </c>
      <c r="F547" s="20">
        <f t="shared" ref="F547:I547" si="545">STANDARDIZE(B547,$L$7,$L$8)</f>
        <v>0.8520069808</v>
      </c>
      <c r="G547" s="20">
        <f t="shared" si="545"/>
        <v>8.983944154</v>
      </c>
      <c r="H547" s="20">
        <f t="shared" si="545"/>
        <v>8.745549738</v>
      </c>
      <c r="I547" s="20">
        <f t="shared" si="545"/>
        <v>4.385340314</v>
      </c>
    </row>
    <row r="548" ht="15.75" customHeight="1">
      <c r="A548" s="10">
        <f>Dados!A550</f>
        <v>44622.66667</v>
      </c>
      <c r="B548" s="19">
        <f>Dados!B550</f>
        <v>62.43</v>
      </c>
      <c r="C548" s="19">
        <f>Dados!D550</f>
        <v>300.19</v>
      </c>
      <c r="D548" s="19">
        <f>Dados!F550</f>
        <v>293.3</v>
      </c>
      <c r="E548" s="19">
        <f>Dados!H550</f>
        <v>166.56</v>
      </c>
      <c r="F548" s="20">
        <f t="shared" ref="F548:I548" si="546">STANDARDIZE(B548,$L$7,$L$8)</f>
        <v>0.8680628272</v>
      </c>
      <c r="G548" s="20">
        <f t="shared" si="546"/>
        <v>9.166841187</v>
      </c>
      <c r="H548" s="20">
        <f t="shared" si="546"/>
        <v>8.926352531</v>
      </c>
      <c r="I548" s="20">
        <f t="shared" si="546"/>
        <v>4.502617801</v>
      </c>
    </row>
    <row r="549" ht="15.75" customHeight="1">
      <c r="A549" s="10">
        <f>Dados!A551</f>
        <v>44623.66667</v>
      </c>
      <c r="B549" s="19">
        <f>Dados!B551</f>
        <v>62.47</v>
      </c>
      <c r="C549" s="19">
        <f>Dados!D551</f>
        <v>295.92</v>
      </c>
      <c r="D549" s="19">
        <f>Dados!F551</f>
        <v>279.76</v>
      </c>
      <c r="E549" s="19">
        <f>Dados!H551</f>
        <v>166.23</v>
      </c>
      <c r="F549" s="20">
        <f t="shared" ref="F549:I549" si="547">STANDARDIZE(B549,$L$7,$L$8)</f>
        <v>0.8694589878</v>
      </c>
      <c r="G549" s="20">
        <f t="shared" si="547"/>
        <v>9.017801047</v>
      </c>
      <c r="H549" s="20">
        <f t="shared" si="547"/>
        <v>8.453752182</v>
      </c>
      <c r="I549" s="20">
        <f t="shared" si="547"/>
        <v>4.491099476</v>
      </c>
    </row>
    <row r="550" ht="15.75" customHeight="1">
      <c r="A550" s="10">
        <f>Dados!A552</f>
        <v>44624.66667</v>
      </c>
      <c r="B550" s="19">
        <f>Dados!B552</f>
        <v>62.57</v>
      </c>
      <c r="C550" s="19">
        <f>Dados!D552</f>
        <v>289.86</v>
      </c>
      <c r="D550" s="19">
        <f>Dados!F552</f>
        <v>279.43</v>
      </c>
      <c r="E550" s="19">
        <f>Dados!H552</f>
        <v>163.17</v>
      </c>
      <c r="F550" s="20">
        <f t="shared" ref="F550:I550" si="548">STANDARDIZE(B550,$L$7,$L$8)</f>
        <v>0.8729493892</v>
      </c>
      <c r="G550" s="20">
        <f t="shared" si="548"/>
        <v>8.806282723</v>
      </c>
      <c r="H550" s="20">
        <f t="shared" si="548"/>
        <v>8.442233857</v>
      </c>
      <c r="I550" s="20">
        <f t="shared" si="548"/>
        <v>4.384293194</v>
      </c>
    </row>
    <row r="551" ht="15.75" customHeight="1">
      <c r="A551" s="10">
        <f>Dados!A553</f>
        <v>44627.66667</v>
      </c>
      <c r="B551" s="19">
        <f>Dados!B553</f>
        <v>61.08</v>
      </c>
      <c r="C551" s="19">
        <f>Dados!D553</f>
        <v>278.91</v>
      </c>
      <c r="D551" s="19">
        <f>Dados!F553</f>
        <v>268.19</v>
      </c>
      <c r="E551" s="19">
        <f>Dados!H553</f>
        <v>159.3</v>
      </c>
      <c r="F551" s="20">
        <f t="shared" ref="F551:I551" si="549">STANDARDIZE(B551,$L$7,$L$8)</f>
        <v>0.8209424084</v>
      </c>
      <c r="G551" s="20">
        <f t="shared" si="549"/>
        <v>8.42408377</v>
      </c>
      <c r="H551" s="20">
        <f t="shared" si="549"/>
        <v>8.04991274</v>
      </c>
      <c r="I551" s="20">
        <f t="shared" si="549"/>
        <v>4.24921466</v>
      </c>
    </row>
    <row r="552" ht="15.75" customHeight="1">
      <c r="A552" s="10">
        <f>Dados!A554</f>
        <v>44628.66667</v>
      </c>
      <c r="B552" s="19">
        <f>Dados!B554</f>
        <v>58.66</v>
      </c>
      <c r="C552" s="19">
        <f>Dados!D554</f>
        <v>275.85</v>
      </c>
      <c r="D552" s="19">
        <f>Dados!F554</f>
        <v>274.8</v>
      </c>
      <c r="E552" s="19">
        <f>Dados!H554</f>
        <v>157.44</v>
      </c>
      <c r="F552" s="20">
        <f t="shared" ref="F552:I552" si="550">STANDARDIZE(B552,$L$7,$L$8)</f>
        <v>0.7364746946</v>
      </c>
      <c r="G552" s="20">
        <f t="shared" si="550"/>
        <v>8.317277487</v>
      </c>
      <c r="H552" s="20">
        <f t="shared" si="550"/>
        <v>8.280628272</v>
      </c>
      <c r="I552" s="20">
        <f t="shared" si="550"/>
        <v>4.184293194</v>
      </c>
    </row>
    <row r="553" ht="15.75" customHeight="1">
      <c r="A553" s="10">
        <f>Dados!A555</f>
        <v>44629.66667</v>
      </c>
      <c r="B553" s="19">
        <f>Dados!B555</f>
        <v>58.96</v>
      </c>
      <c r="C553" s="19">
        <f>Dados!D555</f>
        <v>288.5</v>
      </c>
      <c r="D553" s="19">
        <f>Dados!F555</f>
        <v>286.32</v>
      </c>
      <c r="E553" s="19">
        <f>Dados!H555</f>
        <v>162.95</v>
      </c>
      <c r="F553" s="20">
        <f t="shared" ref="F553:I553" si="551">STANDARDIZE(B553,$L$7,$L$8)</f>
        <v>0.7469458988</v>
      </c>
      <c r="G553" s="20">
        <f t="shared" si="551"/>
        <v>8.758813264</v>
      </c>
      <c r="H553" s="20">
        <f t="shared" si="551"/>
        <v>8.682722513</v>
      </c>
      <c r="I553" s="20">
        <f t="shared" si="551"/>
        <v>4.376614311</v>
      </c>
    </row>
    <row r="554" ht="15.75" customHeight="1">
      <c r="A554" s="10">
        <f>Dados!A556</f>
        <v>44630.66667</v>
      </c>
      <c r="B554" s="19">
        <f>Dados!B556</f>
        <v>57.88</v>
      </c>
      <c r="C554" s="19">
        <f>Dados!D556</f>
        <v>285.59</v>
      </c>
      <c r="D554" s="19">
        <f>Dados!F556</f>
        <v>279.43</v>
      </c>
      <c r="E554" s="19">
        <f>Dados!H556</f>
        <v>158.52</v>
      </c>
      <c r="F554" s="20">
        <f t="shared" ref="F554:I554" si="552">STANDARDIZE(B554,$L$7,$L$8)</f>
        <v>0.7092495637</v>
      </c>
      <c r="G554" s="20">
        <f t="shared" si="552"/>
        <v>8.657242583</v>
      </c>
      <c r="H554" s="20">
        <f t="shared" si="552"/>
        <v>8.442233857</v>
      </c>
      <c r="I554" s="20">
        <f t="shared" si="552"/>
        <v>4.221989529</v>
      </c>
    </row>
    <row r="555" ht="15.75" customHeight="1">
      <c r="A555" s="10">
        <f>Dados!A557</f>
        <v>44631.66667</v>
      </c>
      <c r="B555" s="19">
        <f>Dados!B557</f>
        <v>57.92</v>
      </c>
      <c r="C555" s="19">
        <f>Dados!D557</f>
        <v>280.07</v>
      </c>
      <c r="D555" s="19">
        <f>Dados!F557</f>
        <v>265.12</v>
      </c>
      <c r="E555" s="19">
        <f>Dados!H557</f>
        <v>154.73</v>
      </c>
      <c r="F555" s="20">
        <f t="shared" ref="F555:I555" si="553">STANDARDIZE(B555,$L$7,$L$8)</f>
        <v>0.7106457243</v>
      </c>
      <c r="G555" s="20">
        <f t="shared" si="553"/>
        <v>8.464572426</v>
      </c>
      <c r="H555" s="20">
        <f t="shared" si="553"/>
        <v>7.942757417</v>
      </c>
      <c r="I555" s="20">
        <f t="shared" si="553"/>
        <v>4.089703316</v>
      </c>
    </row>
    <row r="556" ht="15.75" customHeight="1">
      <c r="A556" s="10">
        <f>Dados!A558</f>
        <v>44634.66667</v>
      </c>
      <c r="B556" s="19">
        <f>Dados!B558</f>
        <v>58.54</v>
      </c>
      <c r="C556" s="19">
        <f>Dados!D558</f>
        <v>276.44</v>
      </c>
      <c r="D556" s="19">
        <f>Dados!F558</f>
        <v>255.46</v>
      </c>
      <c r="E556" s="19">
        <f>Dados!H558</f>
        <v>150.62</v>
      </c>
      <c r="F556" s="20">
        <f t="shared" ref="F556:I556" si="554">STANDARDIZE(B556,$L$7,$L$8)</f>
        <v>0.7322862129</v>
      </c>
      <c r="G556" s="20">
        <f t="shared" si="554"/>
        <v>8.337870855</v>
      </c>
      <c r="H556" s="20">
        <f t="shared" si="554"/>
        <v>7.605584642</v>
      </c>
      <c r="I556" s="20">
        <f t="shared" si="554"/>
        <v>3.946247818</v>
      </c>
    </row>
    <row r="557" ht="15.75" customHeight="1">
      <c r="A557" s="10">
        <f>Dados!A559</f>
        <v>44635.66667</v>
      </c>
      <c r="B557" s="19">
        <f>Dados!B559</f>
        <v>59.62</v>
      </c>
      <c r="C557" s="19">
        <f>Dados!D559</f>
        <v>287.15</v>
      </c>
      <c r="D557" s="19">
        <f>Dados!F559</f>
        <v>267.3</v>
      </c>
      <c r="E557" s="19">
        <f>Dados!H559</f>
        <v>155.09</v>
      </c>
      <c r="F557" s="20">
        <f t="shared" ref="F557:I557" si="555">STANDARDIZE(B557,$L$7,$L$8)</f>
        <v>0.769982548</v>
      </c>
      <c r="G557" s="20">
        <f t="shared" si="555"/>
        <v>8.711692845</v>
      </c>
      <c r="H557" s="20">
        <f t="shared" si="555"/>
        <v>8.018848168</v>
      </c>
      <c r="I557" s="20">
        <f t="shared" si="555"/>
        <v>4.102268761</v>
      </c>
    </row>
    <row r="558" ht="15.75" customHeight="1">
      <c r="A558" s="10">
        <f>Dados!A560</f>
        <v>44636.66667</v>
      </c>
      <c r="B558" s="19">
        <f>Dados!B560</f>
        <v>59.46</v>
      </c>
      <c r="C558" s="19">
        <f>Dados!D560</f>
        <v>294.39</v>
      </c>
      <c r="D558" s="19">
        <f>Dados!F560</f>
        <v>280.08</v>
      </c>
      <c r="E558" s="19">
        <f>Dados!H560</f>
        <v>159.59</v>
      </c>
      <c r="F558" s="20">
        <f t="shared" ref="F558:I558" si="556">STANDARDIZE(B558,$L$7,$L$8)</f>
        <v>0.7643979058</v>
      </c>
      <c r="G558" s="20">
        <f t="shared" si="556"/>
        <v>8.964397906</v>
      </c>
      <c r="H558" s="20">
        <f t="shared" si="556"/>
        <v>8.464921466</v>
      </c>
      <c r="I558" s="20">
        <f t="shared" si="556"/>
        <v>4.259336824</v>
      </c>
    </row>
    <row r="559" ht="15.75" customHeight="1">
      <c r="A559" s="10">
        <f>Dados!A561</f>
        <v>44637.66667</v>
      </c>
      <c r="B559" s="19">
        <f>Dados!B561</f>
        <v>60.09</v>
      </c>
      <c r="C559" s="19">
        <f>Dados!D561</f>
        <v>295.22</v>
      </c>
      <c r="D559" s="19">
        <f>Dados!F561</f>
        <v>290.53</v>
      </c>
      <c r="E559" s="19">
        <f>Dados!H561</f>
        <v>160.62</v>
      </c>
      <c r="F559" s="20">
        <f t="shared" ref="F559:I559" si="557">STANDARDIZE(B559,$L$7,$L$8)</f>
        <v>0.7863874346</v>
      </c>
      <c r="G559" s="20">
        <f t="shared" si="557"/>
        <v>8.993368237</v>
      </c>
      <c r="H559" s="20">
        <f t="shared" si="557"/>
        <v>8.829668412</v>
      </c>
      <c r="I559" s="20">
        <f t="shared" si="557"/>
        <v>4.295287958</v>
      </c>
    </row>
    <row r="560" ht="15.75" customHeight="1">
      <c r="A560" s="10">
        <f>Dados!A562</f>
        <v>44638.66667</v>
      </c>
      <c r="B560" s="19">
        <f>Dados!B562</f>
        <v>60.1</v>
      </c>
      <c r="C560" s="19">
        <f>Dados!D562</f>
        <v>300.43</v>
      </c>
      <c r="D560" s="19">
        <f>Dados!F562</f>
        <v>301.8</v>
      </c>
      <c r="E560" s="19">
        <f>Dados!H562</f>
        <v>163.98</v>
      </c>
      <c r="F560" s="20">
        <f t="shared" ref="F560:I560" si="558">STANDARDIZE(B560,$L$7,$L$8)</f>
        <v>0.7867364747</v>
      </c>
      <c r="G560" s="20">
        <f t="shared" si="558"/>
        <v>9.17521815</v>
      </c>
      <c r="H560" s="20">
        <f t="shared" si="558"/>
        <v>9.223036649</v>
      </c>
      <c r="I560" s="20">
        <f t="shared" si="558"/>
        <v>4.412565445</v>
      </c>
    </row>
    <row r="561" ht="15.75" customHeight="1">
      <c r="A561" s="10">
        <f>Dados!A563</f>
        <v>44641.66667</v>
      </c>
      <c r="B561" s="19">
        <f>Dados!B563</f>
        <v>60.58</v>
      </c>
      <c r="C561" s="19">
        <f>Dados!D563</f>
        <v>299.16</v>
      </c>
      <c r="D561" s="19">
        <f>Dados!F563</f>
        <v>307.05</v>
      </c>
      <c r="E561" s="19">
        <f>Dados!H563</f>
        <v>165.38</v>
      </c>
      <c r="F561" s="20">
        <f t="shared" ref="F561:I561" si="559">STANDARDIZE(B561,$L$7,$L$8)</f>
        <v>0.8034904014</v>
      </c>
      <c r="G561" s="20">
        <f t="shared" si="559"/>
        <v>9.130890052</v>
      </c>
      <c r="H561" s="20">
        <f t="shared" si="559"/>
        <v>9.406282723</v>
      </c>
      <c r="I561" s="20">
        <f t="shared" si="559"/>
        <v>4.461431065</v>
      </c>
    </row>
    <row r="562" ht="15.75" customHeight="1">
      <c r="A562" s="10">
        <f>Dados!A564</f>
        <v>44642.66667</v>
      </c>
      <c r="B562" s="19">
        <f>Dados!B564</f>
        <v>60.8</v>
      </c>
      <c r="C562" s="19">
        <f>Dados!D564</f>
        <v>304.06</v>
      </c>
      <c r="D562" s="19">
        <f>Dados!F564</f>
        <v>331.33</v>
      </c>
      <c r="E562" s="19">
        <f>Dados!H564</f>
        <v>168.82</v>
      </c>
      <c r="F562" s="20">
        <f t="shared" ref="F562:I562" si="560">STANDARDIZE(B562,$L$7,$L$8)</f>
        <v>0.8111692845</v>
      </c>
      <c r="G562" s="20">
        <f t="shared" si="560"/>
        <v>9.301919721</v>
      </c>
      <c r="H562" s="20">
        <f t="shared" si="560"/>
        <v>10.25375218</v>
      </c>
      <c r="I562" s="20">
        <f t="shared" si="560"/>
        <v>4.581500873</v>
      </c>
    </row>
    <row r="563" ht="15.75" customHeight="1">
      <c r="A563" s="10">
        <f>Dados!A565</f>
        <v>44643.66667</v>
      </c>
      <c r="B563" s="19">
        <f>Dados!B565</f>
        <v>60.4</v>
      </c>
      <c r="C563" s="19">
        <f>Dados!D565</f>
        <v>299.49</v>
      </c>
      <c r="D563" s="19">
        <f>Dados!F565</f>
        <v>333.04</v>
      </c>
      <c r="E563" s="19">
        <f>Dados!H565</f>
        <v>170.21</v>
      </c>
      <c r="F563" s="20">
        <f t="shared" ref="F563:I563" si="561">STANDARDIZE(B563,$L$7,$L$8)</f>
        <v>0.7972076789</v>
      </c>
      <c r="G563" s="20">
        <f t="shared" si="561"/>
        <v>9.142408377</v>
      </c>
      <c r="H563" s="20">
        <f t="shared" si="561"/>
        <v>10.31343805</v>
      </c>
      <c r="I563" s="20">
        <f t="shared" si="561"/>
        <v>4.630017452</v>
      </c>
    </row>
    <row r="564" ht="15.75" customHeight="1">
      <c r="A564" s="10">
        <f>Dados!A566</f>
        <v>44644.66667</v>
      </c>
      <c r="B564" s="19">
        <f>Dados!B566</f>
        <v>60.98</v>
      </c>
      <c r="C564" s="19">
        <f>Dados!D566</f>
        <v>304.1</v>
      </c>
      <c r="D564" s="19">
        <f>Dados!F566</f>
        <v>337.97</v>
      </c>
      <c r="E564" s="19">
        <f>Dados!H566</f>
        <v>174.07</v>
      </c>
      <c r="F564" s="20">
        <f t="shared" ref="F564:I564" si="562">STANDARDIZE(B564,$L$7,$L$8)</f>
        <v>0.817452007</v>
      </c>
      <c r="G564" s="20">
        <f t="shared" si="562"/>
        <v>9.303315881</v>
      </c>
      <c r="H564" s="20">
        <f t="shared" si="562"/>
        <v>10.48551483</v>
      </c>
      <c r="I564" s="20">
        <f t="shared" si="562"/>
        <v>4.764746946</v>
      </c>
    </row>
    <row r="565" ht="15.75" customHeight="1">
      <c r="A565" s="10">
        <f>Dados!A567</f>
        <v>44645.66667</v>
      </c>
      <c r="B565" s="19">
        <f>Dados!B567</f>
        <v>61.53</v>
      </c>
      <c r="C565" s="19">
        <f>Dados!D567</f>
        <v>303.68</v>
      </c>
      <c r="D565" s="19">
        <f>Dados!F567</f>
        <v>336.88</v>
      </c>
      <c r="E565" s="19">
        <f>Dados!H567</f>
        <v>174.72</v>
      </c>
      <c r="F565" s="20">
        <f t="shared" ref="F565:I565" si="563">STANDARDIZE(B565,$L$7,$L$8)</f>
        <v>0.8366492147</v>
      </c>
      <c r="G565" s="20">
        <f t="shared" si="563"/>
        <v>9.288656195</v>
      </c>
      <c r="H565" s="20">
        <f t="shared" si="563"/>
        <v>10.44746946</v>
      </c>
      <c r="I565" s="20">
        <f t="shared" si="563"/>
        <v>4.787434555</v>
      </c>
    </row>
    <row r="566" ht="15.75" customHeight="1">
      <c r="A566" s="10">
        <f>Dados!A568</f>
        <v>44648.66667</v>
      </c>
      <c r="B566" s="19">
        <f>Dados!B568</f>
        <v>61.92</v>
      </c>
      <c r="C566" s="19">
        <f>Dados!D568</f>
        <v>310.7</v>
      </c>
      <c r="D566" s="19">
        <f>Dados!F568</f>
        <v>363.95</v>
      </c>
      <c r="E566" s="19">
        <f>Dados!H568</f>
        <v>175.6</v>
      </c>
      <c r="F566" s="20">
        <f t="shared" ref="F566:I566" si="564">STANDARDIZE(B566,$L$7,$L$8)</f>
        <v>0.8502617801</v>
      </c>
      <c r="G566" s="20">
        <f t="shared" si="564"/>
        <v>9.533682373</v>
      </c>
      <c r="H566" s="20">
        <f t="shared" si="564"/>
        <v>11.39232112</v>
      </c>
      <c r="I566" s="20">
        <f t="shared" si="564"/>
        <v>4.818150087</v>
      </c>
    </row>
    <row r="567" ht="15.75" customHeight="1">
      <c r="A567" s="10">
        <f>Dados!A569</f>
        <v>44649.66667</v>
      </c>
      <c r="B567" s="19">
        <f>Dados!B569</f>
        <v>62.16</v>
      </c>
      <c r="C567" s="19">
        <f>Dados!D569</f>
        <v>315.41</v>
      </c>
      <c r="D567" s="19">
        <f>Dados!F569</f>
        <v>366.52</v>
      </c>
      <c r="E567" s="19">
        <f>Dados!H569</f>
        <v>178.96</v>
      </c>
      <c r="F567" s="20">
        <f t="shared" ref="F567:I567" si="565">STANDARDIZE(B567,$L$7,$L$8)</f>
        <v>0.8586387435</v>
      </c>
      <c r="G567" s="20">
        <f t="shared" si="565"/>
        <v>9.698080279</v>
      </c>
      <c r="H567" s="20">
        <f t="shared" si="565"/>
        <v>11.48202443</v>
      </c>
      <c r="I567" s="20">
        <f t="shared" si="565"/>
        <v>4.935427574</v>
      </c>
    </row>
    <row r="568" ht="15.75" customHeight="1">
      <c r="A568" s="10">
        <f>Dados!A570</f>
        <v>44650.66667</v>
      </c>
      <c r="B568" s="19">
        <f>Dados!B570</f>
        <v>62.21</v>
      </c>
      <c r="C568" s="19">
        <f>Dados!D570</f>
        <v>313.86</v>
      </c>
      <c r="D568" s="19">
        <f>Dados!F570</f>
        <v>364.66</v>
      </c>
      <c r="E568" s="19">
        <f>Dados!H570</f>
        <v>177.77</v>
      </c>
      <c r="F568" s="20">
        <f t="shared" ref="F568:I568" si="566">STANDARDIZE(B568,$L$7,$L$8)</f>
        <v>0.8603839442</v>
      </c>
      <c r="G568" s="20">
        <f t="shared" si="566"/>
        <v>9.643979058</v>
      </c>
      <c r="H568" s="20">
        <f t="shared" si="566"/>
        <v>11.41710297</v>
      </c>
      <c r="I568" s="20">
        <f t="shared" si="566"/>
        <v>4.893891798</v>
      </c>
    </row>
    <row r="569" ht="15.75" customHeight="1">
      <c r="A569" s="10">
        <f>Dados!A571</f>
        <v>44651.66667</v>
      </c>
      <c r="B569" s="19">
        <f>Dados!B571</f>
        <v>62</v>
      </c>
      <c r="C569" s="19">
        <f>Dados!D571</f>
        <v>308.31</v>
      </c>
      <c r="D569" s="19">
        <f>Dados!F571</f>
        <v>359.2</v>
      </c>
      <c r="E569" s="19">
        <f>Dados!H571</f>
        <v>174.61</v>
      </c>
      <c r="F569" s="20">
        <f t="shared" ref="F569:I569" si="567">STANDARDIZE(B569,$L$7,$L$8)</f>
        <v>0.8530541012</v>
      </c>
      <c r="G569" s="20">
        <f t="shared" si="567"/>
        <v>9.45026178</v>
      </c>
      <c r="H569" s="20">
        <f t="shared" si="567"/>
        <v>11.22652705</v>
      </c>
      <c r="I569" s="20">
        <f t="shared" si="567"/>
        <v>4.783595113</v>
      </c>
    </row>
    <row r="570" ht="15.75" customHeight="1">
      <c r="A570" s="10">
        <f>Dados!A572</f>
        <v>44652.66667</v>
      </c>
      <c r="B570" s="19">
        <f>Dados!B572</f>
        <v>62.87</v>
      </c>
      <c r="C570" s="19">
        <f>Dados!D572</f>
        <v>309.42</v>
      </c>
      <c r="D570" s="19">
        <f>Dados!F572</f>
        <v>361.53</v>
      </c>
      <c r="E570" s="19">
        <f>Dados!H572</f>
        <v>174.31</v>
      </c>
      <c r="F570" s="20">
        <f t="shared" ref="F570:I570" si="568">STANDARDIZE(B570,$L$7,$L$8)</f>
        <v>0.8834205934</v>
      </c>
      <c r="G570" s="20">
        <f t="shared" si="568"/>
        <v>9.489005236</v>
      </c>
      <c r="H570" s="20">
        <f t="shared" si="568"/>
        <v>11.3078534</v>
      </c>
      <c r="I570" s="20">
        <f t="shared" si="568"/>
        <v>4.773123909</v>
      </c>
    </row>
    <row r="571" ht="15.75" customHeight="1">
      <c r="A571" s="10">
        <f>Dados!A573</f>
        <v>44655.66667</v>
      </c>
      <c r="B571" s="19">
        <f>Dados!B573</f>
        <v>62.54</v>
      </c>
      <c r="C571" s="19">
        <f>Dados!D573</f>
        <v>314.97</v>
      </c>
      <c r="D571" s="19">
        <f>Dados!F573</f>
        <v>381.82</v>
      </c>
      <c r="E571" s="19">
        <f>Dados!H573</f>
        <v>178.44</v>
      </c>
      <c r="F571" s="20">
        <f t="shared" ref="F571:I571" si="569">STANDARDIZE(B571,$L$7,$L$8)</f>
        <v>0.8719022688</v>
      </c>
      <c r="G571" s="20">
        <f t="shared" si="569"/>
        <v>9.682722513</v>
      </c>
      <c r="H571" s="20">
        <f t="shared" si="569"/>
        <v>12.01605585</v>
      </c>
      <c r="I571" s="20">
        <f t="shared" si="569"/>
        <v>4.917277487</v>
      </c>
    </row>
    <row r="572" ht="15.75" customHeight="1">
      <c r="A572" s="10">
        <f>Dados!A574</f>
        <v>44656.66667</v>
      </c>
      <c r="B572" s="19">
        <f>Dados!B574</f>
        <v>62.47</v>
      </c>
      <c r="C572" s="19">
        <f>Dados!D574</f>
        <v>310.88</v>
      </c>
      <c r="D572" s="19">
        <f>Dados!F574</f>
        <v>363.75</v>
      </c>
      <c r="E572" s="19">
        <f>Dados!H574</f>
        <v>175.06</v>
      </c>
      <c r="F572" s="20">
        <f t="shared" ref="F572:I572" si="570">STANDARDIZE(B572,$L$7,$L$8)</f>
        <v>0.8694589878</v>
      </c>
      <c r="G572" s="20">
        <f t="shared" si="570"/>
        <v>9.539965096</v>
      </c>
      <c r="H572" s="20">
        <f t="shared" si="570"/>
        <v>11.38534031</v>
      </c>
      <c r="I572" s="20">
        <f t="shared" si="570"/>
        <v>4.79930192</v>
      </c>
    </row>
    <row r="573" ht="15.75" customHeight="1">
      <c r="A573" s="10">
        <f>Dados!A575</f>
        <v>44657.66667</v>
      </c>
      <c r="B573" s="19">
        <f>Dados!B575</f>
        <v>63.1</v>
      </c>
      <c r="C573" s="19">
        <f>Dados!D575</f>
        <v>299.5</v>
      </c>
      <c r="D573" s="19">
        <f>Dados!F575</f>
        <v>348.59</v>
      </c>
      <c r="E573" s="19">
        <f>Dados!H575</f>
        <v>171.83</v>
      </c>
      <c r="F573" s="20">
        <f t="shared" ref="F573:I573" si="571">STANDARDIZE(B573,$L$7,$L$8)</f>
        <v>0.8914485166</v>
      </c>
      <c r="G573" s="20">
        <f t="shared" si="571"/>
        <v>9.142757417</v>
      </c>
      <c r="H573" s="20">
        <f t="shared" si="571"/>
        <v>10.85619546</v>
      </c>
      <c r="I573" s="20">
        <f t="shared" si="571"/>
        <v>4.686561955</v>
      </c>
    </row>
    <row r="574" ht="15.75" customHeight="1">
      <c r="A574" s="10">
        <f>Dados!A576</f>
        <v>44658.66667</v>
      </c>
      <c r="B574" s="19">
        <f>Dados!B576</f>
        <v>63.44</v>
      </c>
      <c r="C574" s="19">
        <f>Dados!D576</f>
        <v>301.37</v>
      </c>
      <c r="D574" s="19">
        <f>Dados!F576</f>
        <v>352.42</v>
      </c>
      <c r="E574" s="19">
        <f>Dados!H576</f>
        <v>172.14</v>
      </c>
      <c r="F574" s="20">
        <f t="shared" ref="F574:I574" si="572">STANDARDIZE(B574,$L$7,$L$8)</f>
        <v>0.9033158813</v>
      </c>
      <c r="G574" s="20">
        <f t="shared" si="572"/>
        <v>9.208027923</v>
      </c>
      <c r="H574" s="20">
        <f t="shared" si="572"/>
        <v>10.98987784</v>
      </c>
      <c r="I574" s="20">
        <f t="shared" si="572"/>
        <v>4.697382199</v>
      </c>
    </row>
    <row r="575" ht="15.75" customHeight="1">
      <c r="A575" s="10">
        <f>Dados!A577</f>
        <v>44659.66667</v>
      </c>
      <c r="B575" s="19">
        <f>Dados!B577</f>
        <v>63.83</v>
      </c>
      <c r="C575" s="19">
        <f>Dados!D577</f>
        <v>296.97</v>
      </c>
      <c r="D575" s="19">
        <f>Dados!F577</f>
        <v>341.83</v>
      </c>
      <c r="E575" s="19">
        <f>Dados!H577</f>
        <v>170.09</v>
      </c>
      <c r="F575" s="20">
        <f t="shared" ref="F575:I575" si="573">STANDARDIZE(B575,$L$7,$L$8)</f>
        <v>0.9169284468</v>
      </c>
      <c r="G575" s="20">
        <f t="shared" si="573"/>
        <v>9.054450262</v>
      </c>
      <c r="H575" s="20">
        <f t="shared" si="573"/>
        <v>10.62024433</v>
      </c>
      <c r="I575" s="20">
        <f t="shared" si="573"/>
        <v>4.62582897</v>
      </c>
    </row>
    <row r="576" ht="15.75" customHeight="1">
      <c r="A576" s="10">
        <f>Dados!A578</f>
        <v>44662.66667</v>
      </c>
      <c r="B576" s="19">
        <f>Dados!B578</f>
        <v>63.81</v>
      </c>
      <c r="C576" s="19">
        <f>Dados!D578</f>
        <v>285.26</v>
      </c>
      <c r="D576" s="19">
        <f>Dados!F578</f>
        <v>325.31</v>
      </c>
      <c r="E576" s="19">
        <f>Dados!H578</f>
        <v>165.75</v>
      </c>
      <c r="F576" s="20">
        <f t="shared" ref="F576:I576" si="574">STANDARDIZE(B576,$L$7,$L$8)</f>
        <v>0.9162303665</v>
      </c>
      <c r="G576" s="20">
        <f t="shared" si="574"/>
        <v>8.645724258</v>
      </c>
      <c r="H576" s="20">
        <f t="shared" si="574"/>
        <v>10.04363002</v>
      </c>
      <c r="I576" s="20">
        <f t="shared" si="574"/>
        <v>4.47434555</v>
      </c>
    </row>
    <row r="577" ht="15.75" customHeight="1">
      <c r="A577" s="10">
        <f>Dados!A579</f>
        <v>44663.66667</v>
      </c>
      <c r="B577" s="19">
        <f>Dados!B579</f>
        <v>64.56</v>
      </c>
      <c r="C577" s="19">
        <f>Dados!D579</f>
        <v>282.06</v>
      </c>
      <c r="D577" s="19">
        <f>Dados!F579</f>
        <v>328.98</v>
      </c>
      <c r="E577" s="19">
        <f>Dados!H579</f>
        <v>167.66</v>
      </c>
      <c r="F577" s="20">
        <f t="shared" ref="F577:I577" si="575">STANDARDIZE(B577,$L$7,$L$8)</f>
        <v>0.942408377</v>
      </c>
      <c r="G577" s="20">
        <f t="shared" si="575"/>
        <v>8.534031414</v>
      </c>
      <c r="H577" s="20">
        <f t="shared" si="575"/>
        <v>10.17172775</v>
      </c>
      <c r="I577" s="20">
        <f t="shared" si="575"/>
        <v>4.541012216</v>
      </c>
    </row>
    <row r="578" ht="15.75" customHeight="1">
      <c r="A578" s="10">
        <f>Dados!A580</f>
        <v>44664.66667</v>
      </c>
      <c r="B578" s="19">
        <f>Dados!B580</f>
        <v>64.73</v>
      </c>
      <c r="C578" s="19">
        <f>Dados!D580</f>
        <v>287.62</v>
      </c>
      <c r="D578" s="19">
        <f>Dados!F580</f>
        <v>340.79</v>
      </c>
      <c r="E578" s="19">
        <f>Dados!H580</f>
        <v>170.4</v>
      </c>
      <c r="F578" s="20">
        <f t="shared" ref="F578:I578" si="576">STANDARDIZE(B578,$L$7,$L$8)</f>
        <v>0.9483420593</v>
      </c>
      <c r="G578" s="20">
        <f t="shared" si="576"/>
        <v>8.728097731</v>
      </c>
      <c r="H578" s="20">
        <f t="shared" si="576"/>
        <v>10.58394415</v>
      </c>
      <c r="I578" s="20">
        <f t="shared" si="576"/>
        <v>4.636649215</v>
      </c>
    </row>
    <row r="579" ht="15.75" customHeight="1">
      <c r="A579" s="10">
        <f>Dados!A581</f>
        <v>44665.66667</v>
      </c>
      <c r="B579" s="19">
        <f>Dados!B581</f>
        <v>65.02</v>
      </c>
      <c r="C579" s="19">
        <f>Dados!D581</f>
        <v>279.83</v>
      </c>
      <c r="D579" s="19">
        <f>Dados!F581</f>
        <v>328.33</v>
      </c>
      <c r="E579" s="19">
        <f>Dados!H581</f>
        <v>165.29</v>
      </c>
      <c r="F579" s="20">
        <f t="shared" ref="F579:I579" si="577">STANDARDIZE(B579,$L$7,$L$8)</f>
        <v>0.9584642234</v>
      </c>
      <c r="G579" s="20">
        <f t="shared" si="577"/>
        <v>8.456195462</v>
      </c>
      <c r="H579" s="20">
        <f t="shared" si="577"/>
        <v>10.14904014</v>
      </c>
      <c r="I579" s="20">
        <f t="shared" si="577"/>
        <v>4.458289703</v>
      </c>
    </row>
    <row r="580" ht="15.75" customHeight="1">
      <c r="A580" s="10">
        <f>Dados!A582</f>
        <v>44669.66667</v>
      </c>
      <c r="B580" s="19">
        <f>Dados!B582</f>
        <v>64.44</v>
      </c>
      <c r="C580" s="19">
        <f>Dados!D582</f>
        <v>280.52</v>
      </c>
      <c r="D580" s="19">
        <f>Dados!F582</f>
        <v>334.76</v>
      </c>
      <c r="E580" s="19">
        <f>Dados!H582</f>
        <v>165.07</v>
      </c>
      <c r="F580" s="20">
        <f t="shared" ref="F580:I580" si="578">STANDARDIZE(B580,$L$7,$L$8)</f>
        <v>0.9382198953</v>
      </c>
      <c r="G580" s="20">
        <f t="shared" si="578"/>
        <v>8.480279232</v>
      </c>
      <c r="H580" s="20">
        <f t="shared" si="578"/>
        <v>10.37347295</v>
      </c>
      <c r="I580" s="20">
        <f t="shared" si="578"/>
        <v>4.45061082</v>
      </c>
    </row>
    <row r="581" ht="15.75" customHeight="1">
      <c r="A581" s="10">
        <f>Dados!A583</f>
        <v>44670.66667</v>
      </c>
      <c r="B581" s="19">
        <f>Dados!B583</f>
        <v>65.07</v>
      </c>
      <c r="C581" s="19">
        <f>Dados!D583</f>
        <v>285.3</v>
      </c>
      <c r="D581" s="19">
        <f>Dados!F583</f>
        <v>342.72</v>
      </c>
      <c r="E581" s="19">
        <f>Dados!H583</f>
        <v>167.4</v>
      </c>
      <c r="F581" s="20">
        <f t="shared" ref="F581:I581" si="579">STANDARDIZE(B581,$L$7,$L$8)</f>
        <v>0.9602094241</v>
      </c>
      <c r="G581" s="20">
        <f t="shared" si="579"/>
        <v>8.647120419</v>
      </c>
      <c r="H581" s="20">
        <f t="shared" si="579"/>
        <v>10.6513089</v>
      </c>
      <c r="I581" s="20">
        <f t="shared" si="579"/>
        <v>4.531937173</v>
      </c>
    </row>
    <row r="582" ht="15.75" customHeight="1">
      <c r="A582" s="10">
        <f>Dados!A584</f>
        <v>44671.66667</v>
      </c>
      <c r="B582" s="19">
        <f>Dados!B584</f>
        <v>65.96</v>
      </c>
      <c r="C582" s="19">
        <f>Dados!D584</f>
        <v>286.36</v>
      </c>
      <c r="D582" s="19">
        <f>Dados!F584</f>
        <v>325.73</v>
      </c>
      <c r="E582" s="19">
        <f>Dados!H584</f>
        <v>167.23</v>
      </c>
      <c r="F582" s="20">
        <f t="shared" ref="F582:I582" si="580">STANDARDIZE(B582,$L$7,$L$8)</f>
        <v>0.9912739965</v>
      </c>
      <c r="G582" s="20">
        <f t="shared" si="580"/>
        <v>8.684118674</v>
      </c>
      <c r="H582" s="20">
        <f t="shared" si="580"/>
        <v>10.0582897</v>
      </c>
      <c r="I582" s="20">
        <f t="shared" si="580"/>
        <v>4.52600349</v>
      </c>
    </row>
    <row r="583" ht="15.75" customHeight="1">
      <c r="A583" s="10">
        <f>Dados!A585</f>
        <v>44672.66667</v>
      </c>
      <c r="B583" s="19">
        <f>Dados!B585</f>
        <v>66.21</v>
      </c>
      <c r="C583" s="19">
        <f>Dados!D585</f>
        <v>280.81</v>
      </c>
      <c r="D583" s="19">
        <f>Dados!F585</f>
        <v>336.26</v>
      </c>
      <c r="E583" s="19">
        <f>Dados!H585</f>
        <v>166.42</v>
      </c>
      <c r="F583" s="20">
        <f t="shared" ref="F583:I583" si="581">STANDARDIZE(B583,$L$7,$L$8)</f>
        <v>1</v>
      </c>
      <c r="G583" s="20">
        <f t="shared" si="581"/>
        <v>8.490401396</v>
      </c>
      <c r="H583" s="20">
        <f t="shared" si="581"/>
        <v>10.42582897</v>
      </c>
      <c r="I583" s="20">
        <f t="shared" si="581"/>
        <v>4.497731239</v>
      </c>
    </row>
    <row r="584" ht="15.75" customHeight="1">
      <c r="A584" s="10">
        <f>Dados!A586</f>
        <v>44673.66667</v>
      </c>
      <c r="B584" s="19">
        <f>Dados!B586</f>
        <v>65.25</v>
      </c>
      <c r="C584" s="19">
        <f>Dados!D586</f>
        <v>274.03</v>
      </c>
      <c r="D584" s="19">
        <f>Dados!F586</f>
        <v>335.02</v>
      </c>
      <c r="E584" s="19">
        <f>Dados!H586</f>
        <v>161.79</v>
      </c>
      <c r="F584" s="20">
        <f t="shared" ref="F584:I584" si="582">STANDARDIZE(B584,$L$7,$L$8)</f>
        <v>0.9664921466</v>
      </c>
      <c r="G584" s="20">
        <f t="shared" si="582"/>
        <v>8.253752182</v>
      </c>
      <c r="H584" s="20">
        <f t="shared" si="582"/>
        <v>10.38254799</v>
      </c>
      <c r="I584" s="20">
        <f t="shared" si="582"/>
        <v>4.336125654</v>
      </c>
    </row>
    <row r="585" ht="15.75" customHeight="1">
      <c r="A585" s="10">
        <f>Dados!A587</f>
        <v>44676.66667</v>
      </c>
      <c r="B585" s="19">
        <f>Dados!B587</f>
        <v>65.94</v>
      </c>
      <c r="C585" s="19">
        <f>Dados!D587</f>
        <v>280.72</v>
      </c>
      <c r="D585" s="19">
        <f>Dados!F587</f>
        <v>332.67</v>
      </c>
      <c r="E585" s="19">
        <f>Dados!H587</f>
        <v>162.88</v>
      </c>
      <c r="F585" s="20">
        <f t="shared" ref="F585:I585" si="583">STANDARDIZE(B585,$L$7,$L$8)</f>
        <v>0.9905759162</v>
      </c>
      <c r="G585" s="20">
        <f t="shared" si="583"/>
        <v>8.487260035</v>
      </c>
      <c r="H585" s="20">
        <f t="shared" si="583"/>
        <v>10.30052356</v>
      </c>
      <c r="I585" s="20">
        <f t="shared" si="583"/>
        <v>4.37417103</v>
      </c>
    </row>
    <row r="586" ht="15.75" customHeight="1">
      <c r="A586" s="10">
        <f>Dados!A588</f>
        <v>44677.66667</v>
      </c>
      <c r="B586" s="19">
        <f>Dados!B588</f>
        <v>65.05</v>
      </c>
      <c r="C586" s="19">
        <f>Dados!D588</f>
        <v>270.22</v>
      </c>
      <c r="D586" s="19">
        <f>Dados!F588</f>
        <v>292.14</v>
      </c>
      <c r="E586" s="19">
        <f>Dados!H588</f>
        <v>156.8</v>
      </c>
      <c r="F586" s="20">
        <f t="shared" ref="F586:I586" si="584">STANDARDIZE(B586,$L$7,$L$8)</f>
        <v>0.9595113438</v>
      </c>
      <c r="G586" s="20">
        <f t="shared" si="584"/>
        <v>8.120767888</v>
      </c>
      <c r="H586" s="20">
        <f t="shared" si="584"/>
        <v>8.885863874</v>
      </c>
      <c r="I586" s="20">
        <f t="shared" si="584"/>
        <v>4.161954625</v>
      </c>
    </row>
    <row r="587" ht="15.75" customHeight="1">
      <c r="A587" s="10">
        <f>Dados!A589</f>
        <v>44678.66667</v>
      </c>
      <c r="B587" s="19">
        <f>Dados!B589</f>
        <v>65.56</v>
      </c>
      <c r="C587" s="19">
        <f>Dados!D589</f>
        <v>283.22</v>
      </c>
      <c r="D587" s="19">
        <f>Dados!F589</f>
        <v>293.84</v>
      </c>
      <c r="E587" s="19">
        <f>Dados!H589</f>
        <v>156.57</v>
      </c>
      <c r="F587" s="20">
        <f t="shared" ref="F587:I587" si="585">STANDARDIZE(B587,$L$7,$L$8)</f>
        <v>0.9773123909</v>
      </c>
      <c r="G587" s="20">
        <f t="shared" si="585"/>
        <v>8.57452007</v>
      </c>
      <c r="H587" s="20">
        <f t="shared" si="585"/>
        <v>8.945200698</v>
      </c>
      <c r="I587" s="20">
        <f t="shared" si="585"/>
        <v>4.153926702</v>
      </c>
    </row>
    <row r="588" ht="15.75" customHeight="1">
      <c r="A588" s="10">
        <f>Dados!A590</f>
        <v>44679.66667</v>
      </c>
      <c r="B588" s="19">
        <f>Dados!B590</f>
        <v>66.19</v>
      </c>
      <c r="C588" s="19">
        <f>Dados!D590</f>
        <v>289.63</v>
      </c>
      <c r="D588" s="19">
        <f>Dados!F590</f>
        <v>292.5</v>
      </c>
      <c r="E588" s="19">
        <f>Dados!H590</f>
        <v>163.64</v>
      </c>
      <c r="F588" s="20">
        <f t="shared" ref="F588:I588" si="586">STANDARDIZE(B588,$L$7,$L$8)</f>
        <v>0.9993019197</v>
      </c>
      <c r="G588" s="20">
        <f t="shared" si="586"/>
        <v>8.798254799</v>
      </c>
      <c r="H588" s="20">
        <f t="shared" si="586"/>
        <v>8.898429319</v>
      </c>
      <c r="I588" s="20">
        <f t="shared" si="586"/>
        <v>4.40069808</v>
      </c>
    </row>
    <row r="589" ht="15.75" customHeight="1">
      <c r="A589" s="10">
        <f>Dados!A591</f>
        <v>44680.66667</v>
      </c>
      <c r="B589" s="19">
        <f>Dados!B591</f>
        <v>64.61</v>
      </c>
      <c r="C589" s="19">
        <f>Dados!D591</f>
        <v>277.52</v>
      </c>
      <c r="D589" s="19">
        <f>Dados!F591</f>
        <v>290.25</v>
      </c>
      <c r="E589" s="19">
        <f>Dados!H591</f>
        <v>157.65</v>
      </c>
      <c r="F589" s="20">
        <f t="shared" ref="F589:I589" si="587">STANDARDIZE(B589,$L$7,$L$8)</f>
        <v>0.9441535777</v>
      </c>
      <c r="G589" s="20">
        <f t="shared" si="587"/>
        <v>8.37556719</v>
      </c>
      <c r="H589" s="20">
        <f t="shared" si="587"/>
        <v>8.819895288</v>
      </c>
      <c r="I589" s="20">
        <f t="shared" si="587"/>
        <v>4.191623037</v>
      </c>
    </row>
    <row r="590" ht="15.75" customHeight="1">
      <c r="A590" s="10">
        <f>Dados!A592</f>
        <v>44683.66667</v>
      </c>
      <c r="B590" s="19">
        <f>Dados!B592</f>
        <v>63.44</v>
      </c>
      <c r="C590" s="19">
        <f>Dados!D592</f>
        <v>284.47</v>
      </c>
      <c r="D590" s="19">
        <f>Dados!F592</f>
        <v>300.98</v>
      </c>
      <c r="E590" s="19">
        <f>Dados!H592</f>
        <v>157.96</v>
      </c>
      <c r="F590" s="20">
        <f t="shared" ref="F590:I590" si="588">STANDARDIZE(B590,$L$7,$L$8)</f>
        <v>0.9033158813</v>
      </c>
      <c r="G590" s="20">
        <f t="shared" si="588"/>
        <v>8.618150087</v>
      </c>
      <c r="H590" s="20">
        <f t="shared" si="588"/>
        <v>9.194415358</v>
      </c>
      <c r="I590" s="20">
        <f t="shared" si="588"/>
        <v>4.202443281</v>
      </c>
    </row>
    <row r="591" ht="15.75" customHeight="1">
      <c r="A591" s="10">
        <f>Dados!A593</f>
        <v>44684.66667</v>
      </c>
      <c r="B591" s="19">
        <f>Dados!B593</f>
        <v>63.08</v>
      </c>
      <c r="C591" s="19">
        <f>Dados!D593</f>
        <v>281.78</v>
      </c>
      <c r="D591" s="19">
        <f>Dados!F593</f>
        <v>303.08</v>
      </c>
      <c r="E591" s="19">
        <f>Dados!H593</f>
        <v>159.48</v>
      </c>
      <c r="F591" s="20">
        <f t="shared" ref="F591:I591" si="589">STANDARDIZE(B591,$L$7,$L$8)</f>
        <v>0.8907504363</v>
      </c>
      <c r="G591" s="20">
        <f t="shared" si="589"/>
        <v>8.52425829</v>
      </c>
      <c r="H591" s="20">
        <f t="shared" si="589"/>
        <v>9.267713787</v>
      </c>
      <c r="I591" s="20">
        <f t="shared" si="589"/>
        <v>4.255497382</v>
      </c>
    </row>
    <row r="592" ht="15.75" customHeight="1">
      <c r="A592" s="10">
        <f>Dados!A594</f>
        <v>44685.66667</v>
      </c>
      <c r="B592" s="19">
        <f>Dados!B594</f>
        <v>65.03</v>
      </c>
      <c r="C592" s="19">
        <f>Dados!D594</f>
        <v>289.98</v>
      </c>
      <c r="D592" s="19">
        <f>Dados!F594</f>
        <v>317.54</v>
      </c>
      <c r="E592" s="19">
        <f>Dados!H594</f>
        <v>166.02</v>
      </c>
      <c r="F592" s="20">
        <f t="shared" ref="F592:I592" si="590">STANDARDIZE(B592,$L$7,$L$8)</f>
        <v>0.9588132635</v>
      </c>
      <c r="G592" s="20">
        <f t="shared" si="590"/>
        <v>8.810471204</v>
      </c>
      <c r="H592" s="20">
        <f t="shared" si="590"/>
        <v>9.772425829</v>
      </c>
      <c r="I592" s="20">
        <f t="shared" si="590"/>
        <v>4.483769634</v>
      </c>
    </row>
    <row r="593" ht="15.75" customHeight="1">
      <c r="A593" s="10">
        <f>Dados!A595</f>
        <v>44686.66667</v>
      </c>
      <c r="B593" s="19">
        <f>Dados!B595</f>
        <v>64.51</v>
      </c>
      <c r="C593" s="19">
        <f>Dados!D595</f>
        <v>277.35</v>
      </c>
      <c r="D593" s="19">
        <f>Dados!F595</f>
        <v>291.09</v>
      </c>
      <c r="E593" s="19">
        <f>Dados!H595</f>
        <v>156.77</v>
      </c>
      <c r="F593" s="20">
        <f t="shared" ref="F593:I593" si="591">STANDARDIZE(B593,$L$7,$L$8)</f>
        <v>0.9406631763</v>
      </c>
      <c r="G593" s="20">
        <f t="shared" si="591"/>
        <v>8.369633508</v>
      </c>
      <c r="H593" s="20">
        <f t="shared" si="591"/>
        <v>8.84921466</v>
      </c>
      <c r="I593" s="20">
        <f t="shared" si="591"/>
        <v>4.160907504</v>
      </c>
    </row>
    <row r="594" ht="15.75" customHeight="1">
      <c r="A594" s="10">
        <f>Dados!A596</f>
        <v>44687.66667</v>
      </c>
      <c r="B594" s="19">
        <f>Dados!B596</f>
        <v>64.74</v>
      </c>
      <c r="C594" s="19">
        <f>Dados!D596</f>
        <v>274.73</v>
      </c>
      <c r="D594" s="19">
        <f>Dados!F596</f>
        <v>288.55</v>
      </c>
      <c r="E594" s="19">
        <f>Dados!H596</f>
        <v>157.28</v>
      </c>
      <c r="F594" s="20">
        <f t="shared" ref="F594:I594" si="592">STANDARDIZE(B594,$L$7,$L$8)</f>
        <v>0.9486910995</v>
      </c>
      <c r="G594" s="20">
        <f t="shared" si="592"/>
        <v>8.278184991</v>
      </c>
      <c r="H594" s="20">
        <f t="shared" si="592"/>
        <v>8.760558464</v>
      </c>
      <c r="I594" s="20">
        <f t="shared" si="592"/>
        <v>4.178708551</v>
      </c>
    </row>
    <row r="595" ht="15.75" customHeight="1">
      <c r="A595" s="10">
        <f>Dados!A597</f>
        <v>44690.66667</v>
      </c>
      <c r="B595" s="19">
        <f>Dados!B597</f>
        <v>64.61</v>
      </c>
      <c r="C595" s="19">
        <f>Dados!D597</f>
        <v>264.58</v>
      </c>
      <c r="D595" s="19">
        <f>Dados!F597</f>
        <v>262.37</v>
      </c>
      <c r="E595" s="19">
        <f>Dados!H597</f>
        <v>152.06</v>
      </c>
      <c r="F595" s="20">
        <f t="shared" ref="F595:I595" si="593">STANDARDIZE(B595,$L$7,$L$8)</f>
        <v>0.9441535777</v>
      </c>
      <c r="G595" s="20">
        <f t="shared" si="593"/>
        <v>7.92390925</v>
      </c>
      <c r="H595" s="20">
        <f t="shared" si="593"/>
        <v>7.846771379</v>
      </c>
      <c r="I595" s="20">
        <f t="shared" si="593"/>
        <v>3.996509599</v>
      </c>
    </row>
    <row r="596" ht="15.75" customHeight="1">
      <c r="A596" s="10">
        <f>Dados!A598</f>
        <v>44691.66667</v>
      </c>
      <c r="B596" s="19">
        <f>Dados!B598</f>
        <v>64.01</v>
      </c>
      <c r="C596" s="19">
        <f>Dados!D598</f>
        <v>269.5</v>
      </c>
      <c r="D596" s="19">
        <f>Dados!F598</f>
        <v>266.68</v>
      </c>
      <c r="E596" s="19">
        <f>Dados!H598</f>
        <v>154.51</v>
      </c>
      <c r="F596" s="20">
        <f t="shared" ref="F596:I596" si="594">STANDARDIZE(B596,$L$7,$L$8)</f>
        <v>0.9232111693</v>
      </c>
      <c r="G596" s="20">
        <f t="shared" si="594"/>
        <v>8.095636998</v>
      </c>
      <c r="H596" s="20">
        <f t="shared" si="594"/>
        <v>7.997207679</v>
      </c>
      <c r="I596" s="20">
        <f t="shared" si="594"/>
        <v>4.082024433</v>
      </c>
    </row>
    <row r="597" ht="15.75" customHeight="1">
      <c r="A597" s="10">
        <f>Dados!A599</f>
        <v>44692.66667</v>
      </c>
      <c r="B597" s="19">
        <f>Dados!B599</f>
        <v>64.31</v>
      </c>
      <c r="C597" s="19">
        <f>Dados!D599</f>
        <v>260.55</v>
      </c>
      <c r="D597" s="19">
        <f>Dados!F599</f>
        <v>244.67</v>
      </c>
      <c r="E597" s="19">
        <f>Dados!H599</f>
        <v>146.5</v>
      </c>
      <c r="F597" s="20">
        <f t="shared" ref="F597:I597" si="595">STANDARDIZE(B597,$L$7,$L$8)</f>
        <v>0.9336823735</v>
      </c>
      <c r="G597" s="20">
        <f t="shared" si="595"/>
        <v>7.783246073</v>
      </c>
      <c r="H597" s="20">
        <f t="shared" si="595"/>
        <v>7.228970332</v>
      </c>
      <c r="I597" s="20">
        <f t="shared" si="595"/>
        <v>3.802443281</v>
      </c>
    </row>
    <row r="598" ht="15.75" customHeight="1">
      <c r="A598" s="10">
        <f>Dados!A600</f>
        <v>44693.66667</v>
      </c>
      <c r="B598" s="19">
        <f>Dados!B600</f>
        <v>64.51</v>
      </c>
      <c r="C598" s="19">
        <f>Dados!D600</f>
        <v>255.35</v>
      </c>
      <c r="D598" s="19">
        <f>Dados!F600</f>
        <v>242.67</v>
      </c>
      <c r="E598" s="19">
        <f>Dados!H600</f>
        <v>142.56</v>
      </c>
      <c r="F598" s="20">
        <f t="shared" ref="F598:I598" si="596">STANDARDIZE(B598,$L$7,$L$8)</f>
        <v>0.9406631763</v>
      </c>
      <c r="G598" s="20">
        <f t="shared" si="596"/>
        <v>7.601745201</v>
      </c>
      <c r="H598" s="20">
        <f t="shared" si="596"/>
        <v>7.159162304</v>
      </c>
      <c r="I598" s="20">
        <f t="shared" si="596"/>
        <v>3.664921466</v>
      </c>
    </row>
    <row r="599" ht="15.75" customHeight="1">
      <c r="A599" s="10">
        <f>Dados!A601</f>
        <v>44694.66667</v>
      </c>
      <c r="B599" s="19">
        <f>Dados!B601</f>
        <v>65.72</v>
      </c>
      <c r="C599" s="19">
        <f>Dados!D601</f>
        <v>261.12</v>
      </c>
      <c r="D599" s="19">
        <f>Dados!F601</f>
        <v>256.53</v>
      </c>
      <c r="E599" s="19">
        <f>Dados!H601</f>
        <v>147.11</v>
      </c>
      <c r="F599" s="20">
        <f t="shared" ref="F599:I599" si="597">STANDARDIZE(B599,$L$7,$L$8)</f>
        <v>0.9828970332</v>
      </c>
      <c r="G599" s="20">
        <f t="shared" si="597"/>
        <v>7.803141361</v>
      </c>
      <c r="H599" s="20">
        <f t="shared" si="597"/>
        <v>7.642931937</v>
      </c>
      <c r="I599" s="20">
        <f t="shared" si="597"/>
        <v>3.823734729</v>
      </c>
    </row>
    <row r="600" ht="15.75" customHeight="1">
      <c r="A600" s="10">
        <f>Dados!A602</f>
        <v>44697.66667</v>
      </c>
      <c r="B600" s="19">
        <f>Dados!B602</f>
        <v>65.96</v>
      </c>
      <c r="C600" s="19">
        <f>Dados!D602</f>
        <v>261.5</v>
      </c>
      <c r="D600" s="19">
        <f>Dados!F602</f>
        <v>241.46</v>
      </c>
      <c r="E600" s="19">
        <f>Dados!H602</f>
        <v>145.54</v>
      </c>
      <c r="F600" s="20">
        <f t="shared" ref="F600:I600" si="598">STANDARDIZE(B600,$L$7,$L$8)</f>
        <v>0.9912739965</v>
      </c>
      <c r="G600" s="20">
        <f t="shared" si="598"/>
        <v>7.816404887</v>
      </c>
      <c r="H600" s="20">
        <f t="shared" si="598"/>
        <v>7.116928447</v>
      </c>
      <c r="I600" s="20">
        <f t="shared" si="598"/>
        <v>3.768935428</v>
      </c>
    </row>
    <row r="601" ht="15.75" customHeight="1">
      <c r="A601" s="10">
        <f>Dados!A603</f>
        <v>44698.66667</v>
      </c>
      <c r="B601" s="19">
        <f>Dados!B603</f>
        <v>65.78</v>
      </c>
      <c r="C601" s="19">
        <f>Dados!D603</f>
        <v>266.82</v>
      </c>
      <c r="D601" s="19">
        <f>Dados!F603</f>
        <v>253.87</v>
      </c>
      <c r="E601" s="19">
        <f>Dados!H603</f>
        <v>149.24</v>
      </c>
      <c r="F601" s="20">
        <f t="shared" ref="F601:I601" si="599">STANDARDIZE(B601,$L$7,$L$8)</f>
        <v>0.984991274</v>
      </c>
      <c r="G601" s="20">
        <f t="shared" si="599"/>
        <v>8.002094241</v>
      </c>
      <c r="H601" s="20">
        <f t="shared" si="599"/>
        <v>7.55008726</v>
      </c>
      <c r="I601" s="20">
        <f t="shared" si="599"/>
        <v>3.898080279</v>
      </c>
    </row>
    <row r="602" ht="15.75" customHeight="1">
      <c r="A602" s="10">
        <f>Dados!A604</f>
        <v>44699.66667</v>
      </c>
      <c r="B602" s="19">
        <f>Dados!B604</f>
        <v>61.2</v>
      </c>
      <c r="C602" s="19">
        <f>Dados!D604</f>
        <v>254.08</v>
      </c>
      <c r="D602" s="19">
        <f>Dados!F604</f>
        <v>236.6</v>
      </c>
      <c r="E602" s="19">
        <f>Dados!H604</f>
        <v>140.82</v>
      </c>
      <c r="F602" s="20">
        <f t="shared" ref="F602:I602" si="600">STANDARDIZE(B602,$L$7,$L$8)</f>
        <v>0.8251308901</v>
      </c>
      <c r="G602" s="20">
        <f t="shared" si="600"/>
        <v>7.557417103</v>
      </c>
      <c r="H602" s="20">
        <f t="shared" si="600"/>
        <v>6.947294939</v>
      </c>
      <c r="I602" s="20">
        <f t="shared" si="600"/>
        <v>3.604188482</v>
      </c>
    </row>
    <row r="603" ht="15.75" customHeight="1">
      <c r="A603" s="10">
        <f>Dados!A605</f>
        <v>44700.66667</v>
      </c>
      <c r="B603" s="19">
        <f>Dados!B605</f>
        <v>60</v>
      </c>
      <c r="C603" s="19">
        <f>Dados!D605</f>
        <v>253.14</v>
      </c>
      <c r="D603" s="19">
        <f>Dados!F605</f>
        <v>236.47</v>
      </c>
      <c r="E603" s="19">
        <f>Dados!H605</f>
        <v>137.35</v>
      </c>
      <c r="F603" s="20">
        <f t="shared" ref="F603:I603" si="601">STANDARDIZE(B603,$L$7,$L$8)</f>
        <v>0.7832460733</v>
      </c>
      <c r="G603" s="20">
        <f t="shared" si="601"/>
        <v>7.52460733</v>
      </c>
      <c r="H603" s="20">
        <f t="shared" si="601"/>
        <v>6.942757417</v>
      </c>
      <c r="I603" s="20">
        <f t="shared" si="601"/>
        <v>3.483071553</v>
      </c>
    </row>
    <row r="604" ht="15.75" customHeight="1">
      <c r="A604" s="10">
        <f>Dados!A606</f>
        <v>44701.66667</v>
      </c>
      <c r="B604" s="19">
        <f>Dados!B606</f>
        <v>60.98</v>
      </c>
      <c r="C604" s="19">
        <f>Dados!D606</f>
        <v>252.56</v>
      </c>
      <c r="D604" s="19">
        <f>Dados!F606</f>
        <v>221.3</v>
      </c>
      <c r="E604" s="19">
        <f>Dados!H606</f>
        <v>137.59</v>
      </c>
      <c r="F604" s="20">
        <f t="shared" ref="F604:I604" si="602">STANDARDIZE(B604,$L$7,$L$8)</f>
        <v>0.817452007</v>
      </c>
      <c r="G604" s="20">
        <f t="shared" si="602"/>
        <v>7.504363002</v>
      </c>
      <c r="H604" s="20">
        <f t="shared" si="602"/>
        <v>6.413263525</v>
      </c>
      <c r="I604" s="20">
        <f t="shared" si="602"/>
        <v>3.491448517</v>
      </c>
    </row>
    <row r="605" ht="15.75" customHeight="1">
      <c r="A605" s="10">
        <f>Dados!A607</f>
        <v>44704.66667</v>
      </c>
      <c r="B605" s="19">
        <f>Dados!B607</f>
        <v>62.86</v>
      </c>
      <c r="C605" s="19">
        <f>Dados!D607</f>
        <v>260.65</v>
      </c>
      <c r="D605" s="19">
        <f>Dados!F607</f>
        <v>224.97</v>
      </c>
      <c r="E605" s="19">
        <f>Dados!H607</f>
        <v>143.11</v>
      </c>
      <c r="F605" s="20">
        <f t="shared" ref="F605:I605" si="603">STANDARDIZE(B605,$L$7,$L$8)</f>
        <v>0.8830715532</v>
      </c>
      <c r="G605" s="20">
        <f t="shared" si="603"/>
        <v>7.786736475</v>
      </c>
      <c r="H605" s="20">
        <f t="shared" si="603"/>
        <v>6.541361257</v>
      </c>
      <c r="I605" s="20">
        <f t="shared" si="603"/>
        <v>3.684118674</v>
      </c>
    </row>
    <row r="606" ht="15.75" customHeight="1">
      <c r="A606" s="10">
        <f>Dados!A608</f>
        <v>44705.66667</v>
      </c>
      <c r="B606" s="19">
        <f>Dados!B608</f>
        <v>64.02</v>
      </c>
      <c r="C606" s="19">
        <f>Dados!D608</f>
        <v>259.62</v>
      </c>
      <c r="D606" s="19">
        <f>Dados!F608</f>
        <v>209.39</v>
      </c>
      <c r="E606" s="19">
        <f>Dados!H608</f>
        <v>140.36</v>
      </c>
      <c r="F606" s="20">
        <f t="shared" ref="F606:I606" si="604">STANDARDIZE(B606,$L$7,$L$8)</f>
        <v>0.9235602094</v>
      </c>
      <c r="G606" s="20">
        <f t="shared" si="604"/>
        <v>7.75078534</v>
      </c>
      <c r="H606" s="20">
        <f t="shared" si="604"/>
        <v>5.997556719</v>
      </c>
      <c r="I606" s="20">
        <f t="shared" si="604"/>
        <v>3.588132635</v>
      </c>
    </row>
    <row r="607" ht="15.75" customHeight="1">
      <c r="A607" s="10">
        <f>Dados!A609</f>
        <v>44706.66667</v>
      </c>
      <c r="B607" s="19">
        <f>Dados!B609</f>
        <v>64.07</v>
      </c>
      <c r="C607" s="19">
        <f>Dados!D609</f>
        <v>262.52</v>
      </c>
      <c r="D607" s="19">
        <f>Dados!F609</f>
        <v>219.6</v>
      </c>
      <c r="E607" s="19">
        <f>Dados!H609</f>
        <v>140.52</v>
      </c>
      <c r="F607" s="20">
        <f t="shared" ref="F607:I607" si="605">STANDARDIZE(B607,$L$7,$L$8)</f>
        <v>0.9253054101</v>
      </c>
      <c r="G607" s="20">
        <f t="shared" si="605"/>
        <v>7.852006981</v>
      </c>
      <c r="H607" s="20">
        <f t="shared" si="605"/>
        <v>6.353926702</v>
      </c>
      <c r="I607" s="20">
        <f t="shared" si="605"/>
        <v>3.593717277</v>
      </c>
    </row>
    <row r="608" ht="15.75" customHeight="1">
      <c r="A608" s="10">
        <f>Dados!A610</f>
        <v>44707.66667</v>
      </c>
      <c r="B608" s="19">
        <f>Dados!B610</f>
        <v>64.3</v>
      </c>
      <c r="C608" s="19">
        <f>Dados!D610</f>
        <v>265.9</v>
      </c>
      <c r="D608" s="19">
        <f>Dados!F610</f>
        <v>235.91</v>
      </c>
      <c r="E608" s="19">
        <f>Dados!H610</f>
        <v>143.78</v>
      </c>
      <c r="F608" s="20">
        <f t="shared" ref="F608:I608" si="606">STANDARDIZE(B608,$L$7,$L$8)</f>
        <v>0.9333333333</v>
      </c>
      <c r="G608" s="20">
        <f t="shared" si="606"/>
        <v>7.969982548</v>
      </c>
      <c r="H608" s="20">
        <f t="shared" si="606"/>
        <v>6.923211169</v>
      </c>
      <c r="I608" s="20">
        <f t="shared" si="606"/>
        <v>3.707504363</v>
      </c>
    </row>
    <row r="609" ht="15.75" customHeight="1">
      <c r="A609" s="10">
        <f>Dados!A611</f>
        <v>44708.66667</v>
      </c>
      <c r="B609" s="19">
        <f>Dados!B611</f>
        <v>64.68</v>
      </c>
      <c r="C609" s="19">
        <f>Dados!D611</f>
        <v>273.24</v>
      </c>
      <c r="D609" s="19">
        <f>Dados!F611</f>
        <v>253.21</v>
      </c>
      <c r="E609" s="19">
        <f>Dados!H611</f>
        <v>149.64</v>
      </c>
      <c r="F609" s="20">
        <f t="shared" ref="F609:I609" si="607">STANDARDIZE(B609,$L$7,$L$8)</f>
        <v>0.9465968586</v>
      </c>
      <c r="G609" s="20">
        <f t="shared" si="607"/>
        <v>8.22617801</v>
      </c>
      <c r="H609" s="20">
        <f t="shared" si="607"/>
        <v>7.527050611</v>
      </c>
      <c r="I609" s="20">
        <f t="shared" si="607"/>
        <v>3.912041885</v>
      </c>
    </row>
    <row r="610" ht="15.75" customHeight="1">
      <c r="A610" s="10">
        <f>Dados!A612</f>
        <v>44712.66667</v>
      </c>
      <c r="B610" s="19">
        <f>Dados!B612</f>
        <v>63.38</v>
      </c>
      <c r="C610" s="19">
        <f>Dados!D612</f>
        <v>271.87</v>
      </c>
      <c r="D610" s="19">
        <f>Dados!F612</f>
        <v>252.75</v>
      </c>
      <c r="E610" s="19">
        <f>Dados!H612</f>
        <v>148.84</v>
      </c>
      <c r="F610" s="20">
        <f t="shared" ref="F610:I610" si="608">STANDARDIZE(B610,$L$7,$L$8)</f>
        <v>0.9012216405</v>
      </c>
      <c r="G610" s="20">
        <f t="shared" si="608"/>
        <v>8.178359511</v>
      </c>
      <c r="H610" s="20">
        <f t="shared" si="608"/>
        <v>7.510994764</v>
      </c>
      <c r="I610" s="20">
        <f t="shared" si="608"/>
        <v>3.884118674</v>
      </c>
    </row>
    <row r="611" ht="15.75" customHeight="1">
      <c r="A611" s="10">
        <f>Dados!A613</f>
        <v>44713.66667</v>
      </c>
      <c r="B611" s="19">
        <f>Dados!B613</f>
        <v>63.07</v>
      </c>
      <c r="C611" s="19">
        <f>Dados!D613</f>
        <v>272.42</v>
      </c>
      <c r="D611" s="19">
        <f>Dados!F613</f>
        <v>246.79</v>
      </c>
      <c r="E611" s="19">
        <f>Dados!H613</f>
        <v>148.71</v>
      </c>
      <c r="F611" s="20">
        <f t="shared" ref="F611:I611" si="609">STANDARDIZE(B611,$L$7,$L$8)</f>
        <v>0.8904013962</v>
      </c>
      <c r="G611" s="20">
        <f t="shared" si="609"/>
        <v>8.197556719</v>
      </c>
      <c r="H611" s="20">
        <f t="shared" si="609"/>
        <v>7.302966841</v>
      </c>
      <c r="I611" s="20">
        <f t="shared" si="609"/>
        <v>3.879581152</v>
      </c>
    </row>
    <row r="612" ht="15.75" customHeight="1">
      <c r="A612" s="10">
        <f>Dados!A614</f>
        <v>44714.66667</v>
      </c>
      <c r="B612" s="19">
        <f>Dados!B614</f>
        <v>63.73</v>
      </c>
      <c r="C612" s="19">
        <f>Dados!D614</f>
        <v>274.58</v>
      </c>
      <c r="D612" s="19">
        <f>Dados!F614</f>
        <v>258.33</v>
      </c>
      <c r="E612" s="19">
        <f>Dados!H614</f>
        <v>151.21</v>
      </c>
      <c r="F612" s="20">
        <f t="shared" ref="F612:I612" si="610">STANDARDIZE(B612,$L$7,$L$8)</f>
        <v>0.9134380454</v>
      </c>
      <c r="G612" s="20">
        <f t="shared" si="610"/>
        <v>8.272949389</v>
      </c>
      <c r="H612" s="20">
        <f t="shared" si="610"/>
        <v>7.705759162</v>
      </c>
      <c r="I612" s="20">
        <f t="shared" si="610"/>
        <v>3.966841187</v>
      </c>
    </row>
    <row r="613" ht="15.75" customHeight="1">
      <c r="A613" s="10">
        <f>Dados!A615</f>
        <v>44715.66667</v>
      </c>
      <c r="B613" s="19">
        <f>Dados!B615</f>
        <v>62.97</v>
      </c>
      <c r="C613" s="19">
        <f>Dados!D615</f>
        <v>270.02</v>
      </c>
      <c r="D613" s="19">
        <f>Dados!F615</f>
        <v>234.52</v>
      </c>
      <c r="E613" s="19">
        <f>Dados!H615</f>
        <v>145.38</v>
      </c>
      <c r="F613" s="20">
        <f t="shared" ref="F613:I613" si="611">STANDARDIZE(B613,$L$7,$L$8)</f>
        <v>0.8869109948</v>
      </c>
      <c r="G613" s="20">
        <f t="shared" si="611"/>
        <v>8.113787086</v>
      </c>
      <c r="H613" s="20">
        <f t="shared" si="611"/>
        <v>6.87469459</v>
      </c>
      <c r="I613" s="20">
        <f t="shared" si="611"/>
        <v>3.763350785</v>
      </c>
    </row>
    <row r="614" ht="15.75" customHeight="1">
      <c r="A614" s="10">
        <f>Dados!A616</f>
        <v>44718.66667</v>
      </c>
      <c r="B614" s="19">
        <f>Dados!B616</f>
        <v>62.87</v>
      </c>
      <c r="C614" s="19">
        <f>Dados!D616</f>
        <v>268.75</v>
      </c>
      <c r="D614" s="19">
        <f>Dados!F616</f>
        <v>238.28</v>
      </c>
      <c r="E614" s="19">
        <f>Dados!H616</f>
        <v>146.14</v>
      </c>
      <c r="F614" s="20">
        <f t="shared" ref="F614:I614" si="612">STANDARDIZE(B614,$L$7,$L$8)</f>
        <v>0.8834205934</v>
      </c>
      <c r="G614" s="20">
        <f t="shared" si="612"/>
        <v>8.069458988</v>
      </c>
      <c r="H614" s="20">
        <f t="shared" si="612"/>
        <v>7.005933682</v>
      </c>
      <c r="I614" s="20">
        <f t="shared" si="612"/>
        <v>3.789877836</v>
      </c>
    </row>
    <row r="615" ht="15.75" customHeight="1">
      <c r="A615" s="10">
        <f>Dados!A617</f>
        <v>44719.66667</v>
      </c>
      <c r="B615" s="19">
        <f>Dados!B617</f>
        <v>63.25</v>
      </c>
      <c r="C615" s="19">
        <f>Dados!D617</f>
        <v>272.5</v>
      </c>
      <c r="D615" s="19">
        <f>Dados!F617</f>
        <v>238.89</v>
      </c>
      <c r="E615" s="19">
        <f>Dados!H617</f>
        <v>148.71</v>
      </c>
      <c r="F615" s="20">
        <f t="shared" ref="F615:I615" si="613">STANDARDIZE(B615,$L$7,$L$8)</f>
        <v>0.8966841187</v>
      </c>
      <c r="G615" s="20">
        <f t="shared" si="613"/>
        <v>8.20034904</v>
      </c>
      <c r="H615" s="20">
        <f t="shared" si="613"/>
        <v>7.027225131</v>
      </c>
      <c r="I615" s="20">
        <f t="shared" si="613"/>
        <v>3.879581152</v>
      </c>
    </row>
    <row r="616" ht="15.75" customHeight="1">
      <c r="A616" s="10">
        <f>Dados!A618</f>
        <v>44720.66667</v>
      </c>
      <c r="B616" s="19">
        <f>Dados!B618</f>
        <v>62.89</v>
      </c>
      <c r="C616" s="19">
        <f>Dados!D618</f>
        <v>270.41</v>
      </c>
      <c r="D616" s="19">
        <f>Dados!F618</f>
        <v>241.87</v>
      </c>
      <c r="E616" s="19">
        <f>Dados!H618</f>
        <v>147.96</v>
      </c>
      <c r="F616" s="20">
        <f t="shared" ref="F616:I616" si="614">STANDARDIZE(B616,$L$7,$L$8)</f>
        <v>0.8841186736</v>
      </c>
      <c r="G616" s="20">
        <f t="shared" si="614"/>
        <v>8.127399651</v>
      </c>
      <c r="H616" s="20">
        <f t="shared" si="614"/>
        <v>7.131239092</v>
      </c>
      <c r="I616" s="20">
        <f t="shared" si="614"/>
        <v>3.853403141</v>
      </c>
    </row>
    <row r="617" ht="15.75" customHeight="1">
      <c r="A617" s="10">
        <f>Dados!A619</f>
        <v>44721.66667</v>
      </c>
      <c r="B617" s="19">
        <f>Dados!B619</f>
        <v>61.8</v>
      </c>
      <c r="C617" s="19">
        <f>Dados!D619</f>
        <v>264.79</v>
      </c>
      <c r="D617" s="19">
        <f>Dados!F619</f>
        <v>239.71</v>
      </c>
      <c r="E617" s="19">
        <f>Dados!H619</f>
        <v>142.64</v>
      </c>
      <c r="F617" s="20">
        <f t="shared" ref="F617:I617" si="615">STANDARDIZE(B617,$L$7,$L$8)</f>
        <v>0.8460732984</v>
      </c>
      <c r="G617" s="20">
        <f t="shared" si="615"/>
        <v>7.931239092</v>
      </c>
      <c r="H617" s="20">
        <f t="shared" si="615"/>
        <v>7.055846422</v>
      </c>
      <c r="I617" s="20">
        <f t="shared" si="615"/>
        <v>3.667713787</v>
      </c>
    </row>
    <row r="618" ht="15.75" customHeight="1">
      <c r="A618" s="10">
        <f>Dados!A620</f>
        <v>44722.66667</v>
      </c>
      <c r="B618" s="19">
        <f>Dados!B620</f>
        <v>61.41</v>
      </c>
      <c r="C618" s="19">
        <f>Dados!D620</f>
        <v>252.99</v>
      </c>
      <c r="D618" s="19">
        <f>Dados!F620</f>
        <v>232.23</v>
      </c>
      <c r="E618" s="19">
        <f>Dados!H620</f>
        <v>137.13</v>
      </c>
      <c r="F618" s="20">
        <f t="shared" ref="F618:I618" si="616">STANDARDIZE(B618,$L$7,$L$8)</f>
        <v>0.832460733</v>
      </c>
      <c r="G618" s="20">
        <f t="shared" si="616"/>
        <v>7.519371728</v>
      </c>
      <c r="H618" s="20">
        <f t="shared" si="616"/>
        <v>6.794764398</v>
      </c>
      <c r="I618" s="20">
        <f t="shared" si="616"/>
        <v>3.47539267</v>
      </c>
    </row>
    <row r="619" ht="15.75" customHeight="1">
      <c r="A619" s="10">
        <f>Dados!A621</f>
        <v>44725.66667</v>
      </c>
      <c r="B619" s="19">
        <f>Dados!B621</f>
        <v>61.34</v>
      </c>
      <c r="C619" s="19">
        <f>Dados!D621</f>
        <v>242.26</v>
      </c>
      <c r="D619" s="19">
        <f>Dados!F621</f>
        <v>215.74</v>
      </c>
      <c r="E619" s="19">
        <f>Dados!H621</f>
        <v>131.88</v>
      </c>
      <c r="F619" s="20">
        <f t="shared" ref="F619:I619" si="617">STANDARDIZE(B619,$L$7,$L$8)</f>
        <v>0.830017452</v>
      </c>
      <c r="G619" s="20">
        <f t="shared" si="617"/>
        <v>7.144851658</v>
      </c>
      <c r="H619" s="20">
        <f t="shared" si="617"/>
        <v>6.219197208</v>
      </c>
      <c r="I619" s="20">
        <f t="shared" si="617"/>
        <v>3.292146597</v>
      </c>
    </row>
    <row r="620" ht="15.75" customHeight="1">
      <c r="A620" s="10">
        <f>Dados!A622</f>
        <v>44726.66667</v>
      </c>
      <c r="B620" s="19">
        <f>Dados!B622</f>
        <v>59.23</v>
      </c>
      <c r="C620" s="19">
        <f>Dados!D622</f>
        <v>244.49</v>
      </c>
      <c r="D620" s="19">
        <f>Dados!F622</f>
        <v>220.89</v>
      </c>
      <c r="E620" s="19">
        <f>Dados!H622</f>
        <v>132.76</v>
      </c>
      <c r="F620" s="20">
        <f t="shared" ref="F620:I620" si="618">STANDARDIZE(B620,$L$7,$L$8)</f>
        <v>0.7563699825</v>
      </c>
      <c r="G620" s="20">
        <f t="shared" si="618"/>
        <v>7.222687609</v>
      </c>
      <c r="H620" s="20">
        <f t="shared" si="618"/>
        <v>6.39895288</v>
      </c>
      <c r="I620" s="20">
        <f t="shared" si="618"/>
        <v>3.322862129</v>
      </c>
    </row>
    <row r="621" ht="15.75" customHeight="1">
      <c r="A621" s="10">
        <f>Dados!A623</f>
        <v>44727.66667</v>
      </c>
      <c r="B621" s="19">
        <f>Dados!B623</f>
        <v>59.67</v>
      </c>
      <c r="C621" s="19">
        <f>Dados!D623</f>
        <v>251.76</v>
      </c>
      <c r="D621" s="19">
        <f>Dados!F623</f>
        <v>233</v>
      </c>
      <c r="E621" s="19">
        <f>Dados!H623</f>
        <v>135.43</v>
      </c>
      <c r="F621" s="20">
        <f t="shared" ref="F621:I621" si="619">STANDARDIZE(B621,$L$7,$L$8)</f>
        <v>0.7717277487</v>
      </c>
      <c r="G621" s="20">
        <f t="shared" si="619"/>
        <v>7.476439791</v>
      </c>
      <c r="H621" s="20">
        <f t="shared" si="619"/>
        <v>6.821640489</v>
      </c>
      <c r="I621" s="20">
        <f t="shared" si="619"/>
        <v>3.416055846</v>
      </c>
    </row>
    <row r="622" ht="15.75" customHeight="1">
      <c r="A622" s="10">
        <f>Dados!A624</f>
        <v>44728.66667</v>
      </c>
      <c r="B622" s="19">
        <f>Dados!B624</f>
        <v>59.07</v>
      </c>
      <c r="C622" s="19">
        <f>Dados!D624</f>
        <v>244.97</v>
      </c>
      <c r="D622" s="19">
        <f>Dados!F624</f>
        <v>213.1</v>
      </c>
      <c r="E622" s="19">
        <f>Dados!H624</f>
        <v>130.06</v>
      </c>
      <c r="F622" s="20">
        <f t="shared" ref="F622:I622" si="620">STANDARDIZE(B622,$L$7,$L$8)</f>
        <v>0.7507853403</v>
      </c>
      <c r="G622" s="20">
        <f t="shared" si="620"/>
        <v>7.239441536</v>
      </c>
      <c r="H622" s="20">
        <f t="shared" si="620"/>
        <v>6.127050611</v>
      </c>
      <c r="I622" s="20">
        <f t="shared" si="620"/>
        <v>3.228621291</v>
      </c>
    </row>
    <row r="623" ht="15.75" customHeight="1">
      <c r="A623" s="10">
        <f>Dados!A625</f>
        <v>44729.66667</v>
      </c>
      <c r="B623" s="19">
        <f>Dados!B625</f>
        <v>59.43</v>
      </c>
      <c r="C623" s="19">
        <f>Dados!D625</f>
        <v>247.65</v>
      </c>
      <c r="D623" s="19">
        <f>Dados!F625</f>
        <v>216.76</v>
      </c>
      <c r="E623" s="19">
        <f>Dados!H625</f>
        <v>131.56</v>
      </c>
      <c r="F623" s="20">
        <f t="shared" ref="F623:I623" si="621">STANDARDIZE(B623,$L$7,$L$8)</f>
        <v>0.7633507853</v>
      </c>
      <c r="G623" s="20">
        <f t="shared" si="621"/>
        <v>7.332984293</v>
      </c>
      <c r="H623" s="20">
        <f t="shared" si="621"/>
        <v>6.254799302</v>
      </c>
      <c r="I623" s="20">
        <f t="shared" si="621"/>
        <v>3.280977312</v>
      </c>
    </row>
    <row r="624" ht="15.75" customHeight="1">
      <c r="A624" s="10">
        <f>Dados!A626</f>
        <v>44733.66667</v>
      </c>
      <c r="B624" s="19">
        <f>Dados!B626</f>
        <v>60.7</v>
      </c>
      <c r="C624" s="19">
        <f>Dados!D626</f>
        <v>253.74</v>
      </c>
      <c r="D624" s="19">
        <f>Dados!F626</f>
        <v>237.04</v>
      </c>
      <c r="E624" s="19">
        <f>Dados!H626</f>
        <v>135.87</v>
      </c>
      <c r="F624" s="20">
        <f t="shared" ref="F624:I624" si="622">STANDARDIZE(B624,$L$7,$L$8)</f>
        <v>0.8076788831</v>
      </c>
      <c r="G624" s="20">
        <f t="shared" si="622"/>
        <v>7.545549738</v>
      </c>
      <c r="H624" s="20">
        <f t="shared" si="622"/>
        <v>6.962652705</v>
      </c>
      <c r="I624" s="20">
        <f t="shared" si="622"/>
        <v>3.431413613</v>
      </c>
    </row>
    <row r="625" ht="15.75" customHeight="1">
      <c r="A625" s="10">
        <f>Dados!A627</f>
        <v>44734.66667</v>
      </c>
      <c r="B625" s="19">
        <f>Dados!B627</f>
        <v>61.15</v>
      </c>
      <c r="C625" s="19">
        <f>Dados!D627</f>
        <v>253.13</v>
      </c>
      <c r="D625" s="19">
        <f>Dados!F627</f>
        <v>236.09</v>
      </c>
      <c r="E625" s="19">
        <f>Dados!H627</f>
        <v>135.35</v>
      </c>
      <c r="F625" s="20">
        <f t="shared" ref="F625:I625" si="623">STANDARDIZE(B625,$L$7,$L$8)</f>
        <v>0.8233856894</v>
      </c>
      <c r="G625" s="20">
        <f t="shared" si="623"/>
        <v>7.52425829</v>
      </c>
      <c r="H625" s="20">
        <f t="shared" si="623"/>
        <v>6.929493892</v>
      </c>
      <c r="I625" s="20">
        <f t="shared" si="623"/>
        <v>3.413263525</v>
      </c>
    </row>
    <row r="626" ht="15.75" customHeight="1">
      <c r="A626" s="10">
        <f>Dados!A628</f>
        <v>44735.66667</v>
      </c>
      <c r="B626" s="19">
        <f>Dados!B628</f>
        <v>61.88</v>
      </c>
      <c r="C626" s="19">
        <f>Dados!D628</f>
        <v>258.86</v>
      </c>
      <c r="D626" s="19">
        <f>Dados!F628</f>
        <v>235.07</v>
      </c>
      <c r="E626" s="19">
        <f>Dados!H628</f>
        <v>138.27</v>
      </c>
      <c r="F626" s="20">
        <f t="shared" ref="F626:I626" si="624">STANDARDIZE(B626,$L$7,$L$8)</f>
        <v>0.8488656195</v>
      </c>
      <c r="G626" s="20">
        <f t="shared" si="624"/>
        <v>7.72425829</v>
      </c>
      <c r="H626" s="20">
        <f t="shared" si="624"/>
        <v>6.893891798</v>
      </c>
      <c r="I626" s="20">
        <f t="shared" si="624"/>
        <v>3.515183246</v>
      </c>
    </row>
    <row r="627" ht="15.75" customHeight="1">
      <c r="A627" s="10">
        <f>Dados!A629</f>
        <v>44736.66667</v>
      </c>
      <c r="B627" s="19">
        <f>Dados!B629</f>
        <v>63.04</v>
      </c>
      <c r="C627" s="19">
        <f>Dados!D629</f>
        <v>267.7</v>
      </c>
      <c r="D627" s="19">
        <f>Dados!F629</f>
        <v>245.71</v>
      </c>
      <c r="E627" s="19">
        <f>Dados!H629</f>
        <v>141.66</v>
      </c>
      <c r="F627" s="20">
        <f t="shared" ref="F627:I627" si="625">STANDARDIZE(B627,$L$7,$L$8)</f>
        <v>0.8893542757</v>
      </c>
      <c r="G627" s="20">
        <f t="shared" si="625"/>
        <v>8.032809773</v>
      </c>
      <c r="H627" s="20">
        <f t="shared" si="625"/>
        <v>7.265270506</v>
      </c>
      <c r="I627" s="20">
        <f t="shared" si="625"/>
        <v>3.633507853</v>
      </c>
    </row>
    <row r="628" ht="15.75" customHeight="1">
      <c r="A628" s="10">
        <f>Dados!A630</f>
        <v>44739.66667</v>
      </c>
      <c r="B628" s="19">
        <f>Dados!B630</f>
        <v>62.91</v>
      </c>
      <c r="C628" s="19">
        <f>Dados!D630</f>
        <v>264.89</v>
      </c>
      <c r="D628" s="19">
        <f>Dados!F630</f>
        <v>244.92</v>
      </c>
      <c r="E628" s="19">
        <f>Dados!H630</f>
        <v>141.66</v>
      </c>
      <c r="F628" s="20">
        <f t="shared" ref="F628:I628" si="626">STANDARDIZE(B628,$L$7,$L$8)</f>
        <v>0.8848167539</v>
      </c>
      <c r="G628" s="20">
        <f t="shared" si="626"/>
        <v>7.934729494</v>
      </c>
      <c r="H628" s="20">
        <f t="shared" si="626"/>
        <v>7.237696335</v>
      </c>
      <c r="I628" s="20">
        <f t="shared" si="626"/>
        <v>3.633507853</v>
      </c>
    </row>
    <row r="629" ht="15.75" customHeight="1">
      <c r="A629" s="10">
        <f>Dados!A631</f>
        <v>44740.66667</v>
      </c>
      <c r="B629" s="19">
        <f>Dados!B631</f>
        <v>62.28</v>
      </c>
      <c r="C629" s="19">
        <f>Dados!D631</f>
        <v>256.48</v>
      </c>
      <c r="D629" s="19">
        <f>Dados!F631</f>
        <v>232.66</v>
      </c>
      <c r="E629" s="19">
        <f>Dados!H631</f>
        <v>137.44</v>
      </c>
      <c r="F629" s="20">
        <f t="shared" ref="F629:I629" si="627">STANDARDIZE(B629,$L$7,$L$8)</f>
        <v>0.8628272251</v>
      </c>
      <c r="G629" s="20">
        <f t="shared" si="627"/>
        <v>7.641186736</v>
      </c>
      <c r="H629" s="20">
        <f t="shared" si="627"/>
        <v>6.809773124</v>
      </c>
      <c r="I629" s="20">
        <f t="shared" si="627"/>
        <v>3.486212914</v>
      </c>
    </row>
    <row r="630" ht="15.75" customHeight="1">
      <c r="A630" s="10">
        <f>Dados!A632</f>
        <v>44741.66667</v>
      </c>
      <c r="B630" s="19">
        <f>Dados!B632</f>
        <v>62.73</v>
      </c>
      <c r="C630" s="19">
        <f>Dados!D632</f>
        <v>260.26</v>
      </c>
      <c r="D630" s="19">
        <f>Dados!F632</f>
        <v>228.49</v>
      </c>
      <c r="E630" s="19">
        <f>Dados!H632</f>
        <v>139.23</v>
      </c>
      <c r="F630" s="20">
        <f t="shared" ref="F630:I630" si="628">STANDARDIZE(B630,$L$7,$L$8)</f>
        <v>0.8785340314</v>
      </c>
      <c r="G630" s="20">
        <f t="shared" si="628"/>
        <v>7.773123909</v>
      </c>
      <c r="H630" s="20">
        <f t="shared" si="628"/>
        <v>6.664223386</v>
      </c>
      <c r="I630" s="20">
        <f t="shared" si="628"/>
        <v>3.548691099</v>
      </c>
    </row>
    <row r="631" ht="15.75" customHeight="1">
      <c r="A631" s="10">
        <f>Dados!A633</f>
        <v>44742.66667</v>
      </c>
      <c r="B631" s="19">
        <f>Dados!B633</f>
        <v>62.91</v>
      </c>
      <c r="C631" s="19">
        <f>Dados!D633</f>
        <v>256.83</v>
      </c>
      <c r="D631" s="19">
        <f>Dados!F633</f>
        <v>224.47</v>
      </c>
      <c r="E631" s="19">
        <f>Dados!H633</f>
        <v>136.72</v>
      </c>
      <c r="F631" s="20">
        <f t="shared" ref="F631:I631" si="629">STANDARDIZE(B631,$L$7,$L$8)</f>
        <v>0.8848167539</v>
      </c>
      <c r="G631" s="20">
        <f t="shared" si="629"/>
        <v>7.653403141</v>
      </c>
      <c r="H631" s="20">
        <f t="shared" si="629"/>
        <v>6.52390925</v>
      </c>
      <c r="I631" s="20">
        <f t="shared" si="629"/>
        <v>3.461082024</v>
      </c>
    </row>
    <row r="632" ht="15.75" customHeight="1">
      <c r="A632" s="10">
        <f>Dados!A634</f>
        <v>44743.66667</v>
      </c>
      <c r="B632" s="19">
        <f>Dados!B634</f>
        <v>64.38</v>
      </c>
      <c r="C632" s="19">
        <f>Dados!D634</f>
        <v>259.58</v>
      </c>
      <c r="D632" s="19">
        <f>Dados!F634</f>
        <v>227.26</v>
      </c>
      <c r="E632" s="19">
        <f>Dados!H634</f>
        <v>138.93</v>
      </c>
      <c r="F632" s="20">
        <f t="shared" ref="F632:I632" si="630">STANDARDIZE(B632,$L$7,$L$8)</f>
        <v>0.9361256545</v>
      </c>
      <c r="G632" s="20">
        <f t="shared" si="630"/>
        <v>7.74938918</v>
      </c>
      <c r="H632" s="20">
        <f t="shared" si="630"/>
        <v>6.621291449</v>
      </c>
      <c r="I632" s="20">
        <f t="shared" si="630"/>
        <v>3.538219895</v>
      </c>
    </row>
    <row r="633" ht="15.75" customHeight="1">
      <c r="A633" s="10">
        <f>Dados!A635</f>
        <v>44747.66667</v>
      </c>
      <c r="B633" s="19">
        <f>Dados!B635</f>
        <v>63.28</v>
      </c>
      <c r="C633" s="19">
        <f>Dados!D635</f>
        <v>262.85</v>
      </c>
      <c r="D633" s="19">
        <f>Dados!F635</f>
        <v>233.07</v>
      </c>
      <c r="E633" s="19">
        <f>Dados!H635</f>
        <v>141.56</v>
      </c>
      <c r="F633" s="20">
        <f t="shared" ref="F633:I633" si="631">STANDARDIZE(B633,$L$7,$L$8)</f>
        <v>0.8977312391</v>
      </c>
      <c r="G633" s="20">
        <f t="shared" si="631"/>
        <v>7.863525305</v>
      </c>
      <c r="H633" s="20">
        <f t="shared" si="631"/>
        <v>6.82408377</v>
      </c>
      <c r="I633" s="20">
        <f t="shared" si="631"/>
        <v>3.630017452</v>
      </c>
    </row>
    <row r="634" ht="15.75" customHeight="1">
      <c r="A634" s="10">
        <f>Dados!A636</f>
        <v>44748.66667</v>
      </c>
      <c r="B634" s="19">
        <f>Dados!B636</f>
        <v>63.41</v>
      </c>
      <c r="C634" s="19">
        <f>Dados!D636</f>
        <v>266.21</v>
      </c>
      <c r="D634" s="19">
        <f>Dados!F636</f>
        <v>231.73</v>
      </c>
      <c r="E634" s="19">
        <f>Dados!H636</f>
        <v>142.92</v>
      </c>
      <c r="F634" s="20">
        <f t="shared" ref="F634:I634" si="632">STANDARDIZE(B634,$L$7,$L$8)</f>
        <v>0.9022687609</v>
      </c>
      <c r="G634" s="20">
        <f t="shared" si="632"/>
        <v>7.980802792</v>
      </c>
      <c r="H634" s="20">
        <f t="shared" si="632"/>
        <v>6.777312391</v>
      </c>
      <c r="I634" s="20">
        <f t="shared" si="632"/>
        <v>3.677486911</v>
      </c>
    </row>
    <row r="635" ht="15.75" customHeight="1">
      <c r="A635" s="10">
        <f>Dados!A637</f>
        <v>44749.66667</v>
      </c>
      <c r="B635" s="19">
        <f>Dados!B637</f>
        <v>62.91</v>
      </c>
      <c r="C635" s="19">
        <f>Dados!D637</f>
        <v>268.4</v>
      </c>
      <c r="D635" s="19">
        <f>Dados!F637</f>
        <v>244.54</v>
      </c>
      <c r="E635" s="19">
        <f>Dados!H637</f>
        <v>146.35</v>
      </c>
      <c r="F635" s="20">
        <f t="shared" ref="F635:I635" si="633">STANDARDIZE(B635,$L$7,$L$8)</f>
        <v>0.8848167539</v>
      </c>
      <c r="G635" s="20">
        <f t="shared" si="633"/>
        <v>8.057242583</v>
      </c>
      <c r="H635" s="20">
        <f t="shared" si="633"/>
        <v>7.22443281</v>
      </c>
      <c r="I635" s="20">
        <f t="shared" si="633"/>
        <v>3.797207679</v>
      </c>
    </row>
    <row r="636" ht="15.75" customHeight="1">
      <c r="A636" s="10">
        <f>Dados!A638</f>
        <v>44750.66667</v>
      </c>
      <c r="B636" s="19">
        <f>Dados!B638</f>
        <v>63.14</v>
      </c>
      <c r="C636" s="19">
        <f>Dados!D638</f>
        <v>267.66</v>
      </c>
      <c r="D636" s="19">
        <f>Dados!F638</f>
        <v>250.76</v>
      </c>
      <c r="E636" s="19">
        <f>Dados!H638</f>
        <v>147.04</v>
      </c>
      <c r="F636" s="20">
        <f t="shared" ref="F636:I636" si="634">STANDARDIZE(B636,$L$7,$L$8)</f>
        <v>0.8928446771</v>
      </c>
      <c r="G636" s="20">
        <f t="shared" si="634"/>
        <v>8.031413613</v>
      </c>
      <c r="H636" s="20">
        <f t="shared" si="634"/>
        <v>7.441535777</v>
      </c>
      <c r="I636" s="20">
        <f t="shared" si="634"/>
        <v>3.821291449</v>
      </c>
    </row>
    <row r="637" ht="15.75" customHeight="1">
      <c r="A637" s="10">
        <f>Dados!A639</f>
        <v>44753.66667</v>
      </c>
      <c r="B637" s="19">
        <f>Dados!B639</f>
        <v>62.94</v>
      </c>
      <c r="C637" s="19">
        <f>Dados!D639</f>
        <v>264.51</v>
      </c>
      <c r="D637" s="19">
        <f>Dados!F639</f>
        <v>234.34</v>
      </c>
      <c r="E637" s="19">
        <f>Dados!H639</f>
        <v>144.87</v>
      </c>
      <c r="F637" s="20">
        <f t="shared" ref="F637:I637" si="635">STANDARDIZE(B637,$L$7,$L$8)</f>
        <v>0.8858638743</v>
      </c>
      <c r="G637" s="20">
        <f t="shared" si="635"/>
        <v>7.921465969</v>
      </c>
      <c r="H637" s="20">
        <f t="shared" si="635"/>
        <v>6.868411867</v>
      </c>
      <c r="I637" s="20">
        <f t="shared" si="635"/>
        <v>3.745549738</v>
      </c>
    </row>
    <row r="638" ht="15.75" customHeight="1">
      <c r="A638" s="10">
        <f>Dados!A640</f>
        <v>44754.66667</v>
      </c>
      <c r="B638" s="19">
        <f>Dados!B640</f>
        <v>62.67</v>
      </c>
      <c r="C638" s="19">
        <f>Dados!D640</f>
        <v>253.67</v>
      </c>
      <c r="D638" s="19">
        <f>Dados!F640</f>
        <v>233.07</v>
      </c>
      <c r="E638" s="19">
        <f>Dados!H640</f>
        <v>145.86</v>
      </c>
      <c r="F638" s="20">
        <f t="shared" ref="F638:I638" si="636">STANDARDIZE(B638,$L$7,$L$8)</f>
        <v>0.8764397906</v>
      </c>
      <c r="G638" s="20">
        <f t="shared" si="636"/>
        <v>7.543106457</v>
      </c>
      <c r="H638" s="20">
        <f t="shared" si="636"/>
        <v>6.82408377</v>
      </c>
      <c r="I638" s="20">
        <f t="shared" si="636"/>
        <v>3.780104712</v>
      </c>
    </row>
    <row r="639" ht="15.75" customHeight="1">
      <c r="A639" s="10">
        <f>Dados!A641</f>
        <v>44755.66667</v>
      </c>
      <c r="B639" s="19">
        <f>Dados!B641</f>
        <v>62.38</v>
      </c>
      <c r="C639" s="19">
        <f>Dados!D641</f>
        <v>252.72</v>
      </c>
      <c r="D639" s="19">
        <f>Dados!F641</f>
        <v>237.04</v>
      </c>
      <c r="E639" s="19">
        <f>Dados!H641</f>
        <v>145.49</v>
      </c>
      <c r="F639" s="20">
        <f t="shared" ref="F639:I639" si="637">STANDARDIZE(B639,$L$7,$L$8)</f>
        <v>0.8663176265</v>
      </c>
      <c r="G639" s="20">
        <f t="shared" si="637"/>
        <v>7.509947644</v>
      </c>
      <c r="H639" s="20">
        <f t="shared" si="637"/>
        <v>6.962652705</v>
      </c>
      <c r="I639" s="20">
        <f t="shared" si="637"/>
        <v>3.767190227</v>
      </c>
    </row>
    <row r="640" ht="15.75" customHeight="1">
      <c r="A640" s="10">
        <f>Dados!A642</f>
        <v>44756.66667</v>
      </c>
      <c r="B640" s="19">
        <f>Dados!B642</f>
        <v>62.18</v>
      </c>
      <c r="C640" s="19">
        <f>Dados!D642</f>
        <v>254.08</v>
      </c>
      <c r="D640" s="19">
        <f>Dados!F642</f>
        <v>238.31</v>
      </c>
      <c r="E640" s="19">
        <f>Dados!H642</f>
        <v>148.47</v>
      </c>
      <c r="F640" s="20">
        <f t="shared" ref="F640:I640" si="638">STANDARDIZE(B640,$L$7,$L$8)</f>
        <v>0.8593368237</v>
      </c>
      <c r="G640" s="20">
        <f t="shared" si="638"/>
        <v>7.557417103</v>
      </c>
      <c r="H640" s="20">
        <f t="shared" si="638"/>
        <v>7.006980803</v>
      </c>
      <c r="I640" s="20">
        <f t="shared" si="638"/>
        <v>3.871204188</v>
      </c>
    </row>
    <row r="641" ht="15.75" customHeight="1">
      <c r="A641" s="10">
        <f>Dados!A643</f>
        <v>44757.66667</v>
      </c>
      <c r="B641" s="19">
        <f>Dados!B643</f>
        <v>62.5</v>
      </c>
      <c r="C641" s="19">
        <f>Dados!D643</f>
        <v>256.72</v>
      </c>
      <c r="D641" s="19">
        <f>Dados!F643</f>
        <v>240.07</v>
      </c>
      <c r="E641" s="19">
        <f>Dados!H643</f>
        <v>150.17</v>
      </c>
      <c r="F641" s="20">
        <f t="shared" ref="F641:I641" si="639">STANDARDIZE(B641,$L$7,$L$8)</f>
        <v>0.8705061082</v>
      </c>
      <c r="G641" s="20">
        <f t="shared" si="639"/>
        <v>7.6495637</v>
      </c>
      <c r="H641" s="20">
        <f t="shared" si="639"/>
        <v>7.068411867</v>
      </c>
      <c r="I641" s="20">
        <f t="shared" si="639"/>
        <v>3.930541012</v>
      </c>
    </row>
    <row r="642" ht="15.75" customHeight="1">
      <c r="A642" s="10">
        <f>Dados!A644</f>
        <v>44760.66667</v>
      </c>
      <c r="B642" s="19">
        <f>Dados!B644</f>
        <v>61.65</v>
      </c>
      <c r="C642" s="19">
        <f>Dados!D644</f>
        <v>254.25</v>
      </c>
      <c r="D642" s="19">
        <f>Dados!F644</f>
        <v>240.55</v>
      </c>
      <c r="E642" s="19">
        <f>Dados!H644</f>
        <v>147.07</v>
      </c>
      <c r="F642" s="20">
        <f t="shared" ref="F642:I642" si="640">STANDARDIZE(B642,$L$7,$L$8)</f>
        <v>0.8408376963</v>
      </c>
      <c r="G642" s="20">
        <f t="shared" si="640"/>
        <v>7.563350785</v>
      </c>
      <c r="H642" s="20">
        <f t="shared" si="640"/>
        <v>7.085165794</v>
      </c>
      <c r="I642" s="20">
        <f t="shared" si="640"/>
        <v>3.822338569</v>
      </c>
    </row>
    <row r="643" ht="15.75" customHeight="1">
      <c r="A643" s="10">
        <f>Dados!A645</f>
        <v>44761.66667</v>
      </c>
      <c r="B643" s="19">
        <f>Dados!B645</f>
        <v>62.53</v>
      </c>
      <c r="C643" s="19">
        <f>Dados!D645</f>
        <v>259.53</v>
      </c>
      <c r="D643" s="19">
        <f>Dados!F645</f>
        <v>245.53</v>
      </c>
      <c r="E643" s="19">
        <f>Dados!H645</f>
        <v>151</v>
      </c>
      <c r="F643" s="20">
        <f t="shared" ref="F643:I643" si="641">STANDARDIZE(B643,$L$7,$L$8)</f>
        <v>0.8715532286</v>
      </c>
      <c r="G643" s="20">
        <f t="shared" si="641"/>
        <v>7.747643979</v>
      </c>
      <c r="H643" s="20">
        <f t="shared" si="641"/>
        <v>7.258987784</v>
      </c>
      <c r="I643" s="20">
        <f t="shared" si="641"/>
        <v>3.959511344</v>
      </c>
    </row>
    <row r="644" ht="15.75" customHeight="1">
      <c r="A644" s="10">
        <f>Dados!A646</f>
        <v>44762.66667</v>
      </c>
      <c r="B644" s="19">
        <f>Dados!B646</f>
        <v>61.5</v>
      </c>
      <c r="C644" s="19">
        <f>Dados!D646</f>
        <v>262.27</v>
      </c>
      <c r="D644" s="19">
        <f>Dados!F646</f>
        <v>247.5</v>
      </c>
      <c r="E644" s="19">
        <f>Dados!H646</f>
        <v>153.04</v>
      </c>
      <c r="F644" s="20">
        <f t="shared" ref="F644:I644" si="642">STANDARDIZE(B644,$L$7,$L$8)</f>
        <v>0.8356020942</v>
      </c>
      <c r="G644" s="20">
        <f t="shared" si="642"/>
        <v>7.843280977</v>
      </c>
      <c r="H644" s="20">
        <f t="shared" si="642"/>
        <v>7.327748691</v>
      </c>
      <c r="I644" s="20">
        <f t="shared" si="642"/>
        <v>4.030715532</v>
      </c>
    </row>
    <row r="645" ht="15.75" customHeight="1">
      <c r="A645" s="10">
        <f>Dados!A647</f>
        <v>44763.66667</v>
      </c>
      <c r="B645" s="19">
        <f>Dados!B647</f>
        <v>61.36</v>
      </c>
      <c r="C645" s="19">
        <f>Dados!D647</f>
        <v>264.84</v>
      </c>
      <c r="D645" s="19">
        <f>Dados!F647</f>
        <v>271.71</v>
      </c>
      <c r="E645" s="19">
        <f>Dados!H647</f>
        <v>155.35</v>
      </c>
      <c r="F645" s="20">
        <f t="shared" ref="F645:I645" si="643">STANDARDIZE(B645,$L$7,$L$8)</f>
        <v>0.8307155323</v>
      </c>
      <c r="G645" s="20">
        <f t="shared" si="643"/>
        <v>7.932984293</v>
      </c>
      <c r="H645" s="20">
        <f t="shared" si="643"/>
        <v>8.172774869</v>
      </c>
      <c r="I645" s="20">
        <f t="shared" si="643"/>
        <v>4.111343805</v>
      </c>
    </row>
    <row r="646" ht="15.75" customHeight="1">
      <c r="A646" s="10">
        <f>Dados!A648</f>
        <v>44764.66667</v>
      </c>
      <c r="B646" s="19">
        <f>Dados!B648</f>
        <v>61.59</v>
      </c>
      <c r="C646" s="19">
        <f>Dados!D648</f>
        <v>260.36</v>
      </c>
      <c r="D646" s="19">
        <f>Dados!F648</f>
        <v>272.24</v>
      </c>
      <c r="E646" s="19">
        <f>Dados!H648</f>
        <v>154.09</v>
      </c>
      <c r="F646" s="20">
        <f t="shared" ref="F646:I646" si="644">STANDARDIZE(B646,$L$7,$L$8)</f>
        <v>0.8387434555</v>
      </c>
      <c r="G646" s="20">
        <f t="shared" si="644"/>
        <v>7.776614311</v>
      </c>
      <c r="H646" s="20">
        <f t="shared" si="644"/>
        <v>8.191273997</v>
      </c>
      <c r="I646" s="20">
        <f t="shared" si="644"/>
        <v>4.067364747</v>
      </c>
    </row>
    <row r="647" ht="15.75" customHeight="1">
      <c r="A647" s="10">
        <f>Dados!A649</f>
        <v>44767.66667</v>
      </c>
      <c r="B647" s="19">
        <f>Dados!B649</f>
        <v>62.19</v>
      </c>
      <c r="C647" s="19">
        <f>Dados!D649</f>
        <v>258.83</v>
      </c>
      <c r="D647" s="19">
        <f>Dados!F649</f>
        <v>268.43</v>
      </c>
      <c r="E647" s="19">
        <f>Dados!H649</f>
        <v>152.95</v>
      </c>
      <c r="F647" s="20">
        <f t="shared" ref="F647:I647" si="645">STANDARDIZE(B647,$L$7,$L$8)</f>
        <v>0.8596858639</v>
      </c>
      <c r="G647" s="20">
        <f t="shared" si="645"/>
        <v>7.723211169</v>
      </c>
      <c r="H647" s="20">
        <f t="shared" si="645"/>
        <v>8.058289703</v>
      </c>
      <c r="I647" s="20">
        <f t="shared" si="645"/>
        <v>4.027574171</v>
      </c>
    </row>
    <row r="648" ht="15.75" customHeight="1">
      <c r="A648" s="10">
        <f>Dados!A650</f>
        <v>44768.66667</v>
      </c>
      <c r="B648" s="19">
        <f>Dados!B650</f>
        <v>63.21</v>
      </c>
      <c r="C648" s="19">
        <f>Dados!D650</f>
        <v>251.9</v>
      </c>
      <c r="D648" s="19">
        <f>Dados!F650</f>
        <v>258.86</v>
      </c>
      <c r="E648" s="19">
        <f>Dados!H650</f>
        <v>151.6</v>
      </c>
      <c r="F648" s="20">
        <f t="shared" ref="F648:I648" si="646">STANDARDIZE(B648,$L$7,$L$8)</f>
        <v>0.8952879581</v>
      </c>
      <c r="G648" s="20">
        <f t="shared" si="646"/>
        <v>7.481326353</v>
      </c>
      <c r="H648" s="20">
        <f t="shared" si="646"/>
        <v>7.72425829</v>
      </c>
      <c r="I648" s="20">
        <f t="shared" si="646"/>
        <v>3.980453752</v>
      </c>
    </row>
    <row r="649" ht="15.75" customHeight="1">
      <c r="A649" s="10">
        <f>Dados!A651</f>
        <v>44769.66667</v>
      </c>
      <c r="B649" s="19">
        <f>Dados!B651</f>
        <v>63.01</v>
      </c>
      <c r="C649" s="19">
        <f>Dados!D651</f>
        <v>268.74</v>
      </c>
      <c r="D649" s="19">
        <f>Dados!F651</f>
        <v>274.82</v>
      </c>
      <c r="E649" s="19">
        <f>Dados!H651</f>
        <v>156.79</v>
      </c>
      <c r="F649" s="20">
        <f t="shared" ref="F649:I649" si="647">STANDARDIZE(B649,$L$7,$L$8)</f>
        <v>0.8883071553</v>
      </c>
      <c r="G649" s="20">
        <f t="shared" si="647"/>
        <v>8.069109948</v>
      </c>
      <c r="H649" s="20">
        <f t="shared" si="647"/>
        <v>8.281326353</v>
      </c>
      <c r="I649" s="20">
        <f t="shared" si="647"/>
        <v>4.161605585</v>
      </c>
    </row>
    <row r="650" ht="15.75" customHeight="1">
      <c r="A650" s="10">
        <f>Dados!A652</f>
        <v>44770.66667</v>
      </c>
      <c r="B650" s="19">
        <f>Dados!B652</f>
        <v>64.06</v>
      </c>
      <c r="C650" s="19">
        <f>Dados!D652</f>
        <v>276.41</v>
      </c>
      <c r="D650" s="19">
        <f>Dados!F652</f>
        <v>280.9</v>
      </c>
      <c r="E650" s="19">
        <f>Dados!H652</f>
        <v>157.35</v>
      </c>
      <c r="F650" s="20">
        <f t="shared" ref="F650:I650" si="648">STANDARDIZE(B650,$L$7,$L$8)</f>
        <v>0.92495637</v>
      </c>
      <c r="G650" s="20">
        <f t="shared" si="648"/>
        <v>8.336823735</v>
      </c>
      <c r="H650" s="20">
        <f t="shared" si="648"/>
        <v>8.493542757</v>
      </c>
      <c r="I650" s="20">
        <f t="shared" si="648"/>
        <v>4.181151832</v>
      </c>
    </row>
    <row r="651" ht="15.75" customHeight="1">
      <c r="A651" s="10">
        <f>Dados!A653</f>
        <v>44771.66667</v>
      </c>
      <c r="B651" s="19">
        <f>Dados!B653</f>
        <v>64.17</v>
      </c>
      <c r="C651" s="19">
        <f>Dados!D653</f>
        <v>280.74</v>
      </c>
      <c r="D651" s="19">
        <f>Dados!F653</f>
        <v>297.15</v>
      </c>
      <c r="E651" s="19">
        <f>Dados!H653</f>
        <v>162.51</v>
      </c>
      <c r="F651" s="20">
        <f t="shared" ref="F651:I651" si="649">STANDARDIZE(B651,$L$7,$L$8)</f>
        <v>0.9287958115</v>
      </c>
      <c r="G651" s="20">
        <f t="shared" si="649"/>
        <v>8.487958115</v>
      </c>
      <c r="H651" s="20">
        <f t="shared" si="649"/>
        <v>9.060732984</v>
      </c>
      <c r="I651" s="20">
        <f t="shared" si="649"/>
        <v>4.361256545</v>
      </c>
    </row>
    <row r="652" ht="15.75" customHeight="1">
      <c r="A652" s="10">
        <f>Dados!A654</f>
        <v>44774.66667</v>
      </c>
      <c r="B652" s="19">
        <f>Dados!B654</f>
        <v>64.52</v>
      </c>
      <c r="C652" s="19">
        <f>Dados!D654</f>
        <v>278.01</v>
      </c>
      <c r="D652" s="19">
        <f>Dados!F654</f>
        <v>297.28</v>
      </c>
      <c r="E652" s="19">
        <f>Dados!H654</f>
        <v>161.51</v>
      </c>
      <c r="F652" s="20">
        <f t="shared" ref="F652:I652" si="650">STANDARDIZE(B652,$L$7,$L$8)</f>
        <v>0.9410122164</v>
      </c>
      <c r="G652" s="20">
        <f t="shared" si="650"/>
        <v>8.392670157</v>
      </c>
      <c r="H652" s="20">
        <f t="shared" si="650"/>
        <v>9.065270506</v>
      </c>
      <c r="I652" s="20">
        <f t="shared" si="650"/>
        <v>4.326352531</v>
      </c>
    </row>
    <row r="653" ht="15.75" customHeight="1">
      <c r="A653" s="10">
        <f>Dados!A655</f>
        <v>44775.66667</v>
      </c>
      <c r="B653" s="19">
        <f>Dados!B655</f>
        <v>63.64</v>
      </c>
      <c r="C653" s="19">
        <f>Dados!D655</f>
        <v>274.82</v>
      </c>
      <c r="D653" s="19">
        <f>Dados!F655</f>
        <v>300.59</v>
      </c>
      <c r="E653" s="19">
        <f>Dados!H655</f>
        <v>160.01</v>
      </c>
      <c r="F653" s="20">
        <f t="shared" ref="F653:I653" si="651">STANDARDIZE(B653,$L$7,$L$8)</f>
        <v>0.9102966841</v>
      </c>
      <c r="G653" s="20">
        <f t="shared" si="651"/>
        <v>8.281326353</v>
      </c>
      <c r="H653" s="20">
        <f t="shared" si="651"/>
        <v>9.180802792</v>
      </c>
      <c r="I653" s="20">
        <f t="shared" si="651"/>
        <v>4.27399651</v>
      </c>
    </row>
    <row r="654" ht="15.75" customHeight="1">
      <c r="A654" s="10">
        <f>Dados!A656</f>
        <v>44776.66667</v>
      </c>
      <c r="B654" s="19">
        <f>Dados!B656</f>
        <v>63.92</v>
      </c>
      <c r="C654" s="19">
        <f>Dados!D656</f>
        <v>282.47</v>
      </c>
      <c r="D654" s="19">
        <f>Dados!F656</f>
        <v>307.4</v>
      </c>
      <c r="E654" s="19">
        <f>Dados!H656</f>
        <v>166.13</v>
      </c>
      <c r="F654" s="20">
        <f t="shared" ref="F654:I654" si="652">STANDARDIZE(B654,$L$7,$L$8)</f>
        <v>0.920069808</v>
      </c>
      <c r="G654" s="20">
        <f t="shared" si="652"/>
        <v>8.548342059</v>
      </c>
      <c r="H654" s="20">
        <f t="shared" si="652"/>
        <v>9.418499127</v>
      </c>
      <c r="I654" s="20">
        <f t="shared" si="652"/>
        <v>4.487609075</v>
      </c>
    </row>
    <row r="655" ht="15.75" customHeight="1">
      <c r="A655" s="10">
        <f>Dados!A657</f>
        <v>44777.66667</v>
      </c>
      <c r="B655" s="19">
        <f>Dados!B657</f>
        <v>63.67</v>
      </c>
      <c r="C655" s="19">
        <f>Dados!D657</f>
        <v>283.65</v>
      </c>
      <c r="D655" s="19">
        <f>Dados!F657</f>
        <v>308.63</v>
      </c>
      <c r="E655" s="19">
        <f>Dados!H657</f>
        <v>165.81</v>
      </c>
      <c r="F655" s="20">
        <f t="shared" ref="F655:I655" si="653">STANDARDIZE(B655,$L$7,$L$8)</f>
        <v>0.9113438045</v>
      </c>
      <c r="G655" s="20">
        <f t="shared" si="653"/>
        <v>8.589528796</v>
      </c>
      <c r="H655" s="20">
        <f t="shared" si="653"/>
        <v>9.461431065</v>
      </c>
      <c r="I655" s="20">
        <f t="shared" si="653"/>
        <v>4.476439791</v>
      </c>
    </row>
    <row r="656" ht="15.75" customHeight="1">
      <c r="A656" s="10">
        <f>Dados!A658</f>
        <v>44778.66667</v>
      </c>
      <c r="B656" s="19">
        <f>Dados!B658</f>
        <v>63.38</v>
      </c>
      <c r="C656" s="19">
        <f>Dados!D658</f>
        <v>282.91</v>
      </c>
      <c r="D656" s="19">
        <f>Dados!F658</f>
        <v>288.17</v>
      </c>
      <c r="E656" s="19">
        <f>Dados!H658</f>
        <v>165.35</v>
      </c>
      <c r="F656" s="20">
        <f t="shared" ref="F656:I656" si="654">STANDARDIZE(B656,$L$7,$L$8)</f>
        <v>0.9012216405</v>
      </c>
      <c r="G656" s="20">
        <f t="shared" si="654"/>
        <v>8.563699825</v>
      </c>
      <c r="H656" s="20">
        <f t="shared" si="654"/>
        <v>8.747294939</v>
      </c>
      <c r="I656" s="20">
        <f t="shared" si="654"/>
        <v>4.460383944</v>
      </c>
    </row>
    <row r="657" ht="15.75" customHeight="1">
      <c r="A657" s="10">
        <f>Dados!A659</f>
        <v>44781.66667</v>
      </c>
      <c r="B657" s="19">
        <f>Dados!B659</f>
        <v>62.97</v>
      </c>
      <c r="C657" s="19">
        <f>Dados!D659</f>
        <v>280.32</v>
      </c>
      <c r="D657" s="19">
        <f>Dados!F659</f>
        <v>290.42</v>
      </c>
      <c r="E657" s="19">
        <f>Dados!H659</f>
        <v>164.87</v>
      </c>
      <c r="F657" s="20">
        <f t="shared" ref="F657:I657" si="655">STANDARDIZE(B657,$L$7,$L$8)</f>
        <v>0.8869109948</v>
      </c>
      <c r="G657" s="20">
        <f t="shared" si="655"/>
        <v>8.473298429</v>
      </c>
      <c r="H657" s="20">
        <f t="shared" si="655"/>
        <v>8.82582897</v>
      </c>
      <c r="I657" s="20">
        <f t="shared" si="655"/>
        <v>4.443630017</v>
      </c>
    </row>
    <row r="658" ht="15.75" customHeight="1">
      <c r="A658" s="10">
        <f>Dados!A660</f>
        <v>44782.66667</v>
      </c>
      <c r="B658" s="19">
        <f>Dados!B660</f>
        <v>63.05</v>
      </c>
      <c r="C658" s="19">
        <f>Dados!D660</f>
        <v>282.3</v>
      </c>
      <c r="D658" s="19">
        <f>Dados!F660</f>
        <v>283.33</v>
      </c>
      <c r="E658" s="19">
        <f>Dados!H660</f>
        <v>164.92</v>
      </c>
      <c r="F658" s="20">
        <f t="shared" ref="F658:I658" si="656">STANDARDIZE(B658,$L$7,$L$8)</f>
        <v>0.8897033159</v>
      </c>
      <c r="G658" s="20">
        <f t="shared" si="656"/>
        <v>8.542408377</v>
      </c>
      <c r="H658" s="20">
        <f t="shared" si="656"/>
        <v>8.578359511</v>
      </c>
      <c r="I658" s="20">
        <f t="shared" si="656"/>
        <v>4.445375218</v>
      </c>
    </row>
    <row r="659" ht="15.75" customHeight="1">
      <c r="A659" s="10">
        <f>Dados!A661</f>
        <v>44783.66667</v>
      </c>
      <c r="B659" s="19">
        <f>Dados!B661</f>
        <v>63.65</v>
      </c>
      <c r="C659" s="19">
        <f>Dados!D661</f>
        <v>289.16</v>
      </c>
      <c r="D659" s="19">
        <f>Dados!F661</f>
        <v>294.36</v>
      </c>
      <c r="E659" s="19">
        <f>Dados!H661</f>
        <v>169.24</v>
      </c>
      <c r="F659" s="20">
        <f t="shared" ref="F659:I659" si="657">STANDARDIZE(B659,$L$7,$L$8)</f>
        <v>0.9106457243</v>
      </c>
      <c r="G659" s="20">
        <f t="shared" si="657"/>
        <v>8.781849913</v>
      </c>
      <c r="H659" s="20">
        <f t="shared" si="657"/>
        <v>8.963350785</v>
      </c>
      <c r="I659" s="20">
        <f t="shared" si="657"/>
        <v>4.596160558</v>
      </c>
    </row>
    <row r="660" ht="15.75" customHeight="1">
      <c r="A660" s="10">
        <f>Dados!A662</f>
        <v>44784.66667</v>
      </c>
      <c r="B660" s="19">
        <f>Dados!B662</f>
        <v>63.22</v>
      </c>
      <c r="C660" s="19">
        <f>Dados!D662</f>
        <v>287.02</v>
      </c>
      <c r="D660" s="19">
        <f>Dados!F662</f>
        <v>286.63</v>
      </c>
      <c r="E660" s="19">
        <f>Dados!H662</f>
        <v>168.49</v>
      </c>
      <c r="F660" s="20">
        <f t="shared" ref="F660:I660" si="658">STANDARDIZE(B660,$L$7,$L$8)</f>
        <v>0.8956369983</v>
      </c>
      <c r="G660" s="20">
        <f t="shared" si="658"/>
        <v>8.707155323</v>
      </c>
      <c r="H660" s="20">
        <f t="shared" si="658"/>
        <v>8.693542757</v>
      </c>
      <c r="I660" s="20">
        <f t="shared" si="658"/>
        <v>4.569982548</v>
      </c>
    </row>
    <row r="661" ht="15.75" customHeight="1">
      <c r="A661" s="10">
        <f>Dados!A663</f>
        <v>44785.66667</v>
      </c>
      <c r="B661" s="19">
        <f>Dados!B663</f>
        <v>63.7</v>
      </c>
      <c r="C661" s="19">
        <f>Dados!D663</f>
        <v>291.91</v>
      </c>
      <c r="D661" s="19">
        <f>Dados!F663</f>
        <v>300.03</v>
      </c>
      <c r="E661" s="19">
        <f>Dados!H663</f>
        <v>172.1</v>
      </c>
      <c r="F661" s="20">
        <f t="shared" ref="F661:I661" si="659">STANDARDIZE(B661,$L$7,$L$8)</f>
        <v>0.912390925</v>
      </c>
      <c r="G661" s="20">
        <f t="shared" si="659"/>
        <v>8.877835951</v>
      </c>
      <c r="H661" s="20">
        <f t="shared" si="659"/>
        <v>9.161256545</v>
      </c>
      <c r="I661" s="20">
        <f t="shared" si="659"/>
        <v>4.695986038</v>
      </c>
    </row>
    <row r="662" ht="15.75" customHeight="1">
      <c r="A662" s="10">
        <f>Dados!A664</f>
        <v>44788.66667</v>
      </c>
      <c r="B662" s="19">
        <f>Dados!B664</f>
        <v>64.5</v>
      </c>
      <c r="C662" s="19">
        <f>Dados!D664</f>
        <v>293.47</v>
      </c>
      <c r="D662" s="19">
        <f>Dados!F664</f>
        <v>309.32</v>
      </c>
      <c r="E662" s="19">
        <f>Dados!H664</f>
        <v>173.19</v>
      </c>
      <c r="F662" s="20">
        <f t="shared" ref="F662:I662" si="660">STANDARDIZE(B662,$L$7,$L$8)</f>
        <v>0.9403141361</v>
      </c>
      <c r="G662" s="20">
        <f t="shared" si="660"/>
        <v>8.932286213</v>
      </c>
      <c r="H662" s="20">
        <f t="shared" si="660"/>
        <v>9.485514834</v>
      </c>
      <c r="I662" s="20">
        <f t="shared" si="660"/>
        <v>4.734031414</v>
      </c>
    </row>
    <row r="663" ht="15.75" customHeight="1">
      <c r="A663" s="10">
        <f>Dados!A665</f>
        <v>44789.66667</v>
      </c>
      <c r="B663" s="19">
        <f>Dados!B665</f>
        <v>65.03</v>
      </c>
      <c r="C663" s="19">
        <f>Dados!D665</f>
        <v>292.71</v>
      </c>
      <c r="D663" s="19">
        <f>Dados!F665</f>
        <v>306.56</v>
      </c>
      <c r="E663" s="19">
        <f>Dados!H665</f>
        <v>173.03</v>
      </c>
      <c r="F663" s="20">
        <f t="shared" ref="F663:I663" si="661">STANDARDIZE(B663,$L$7,$L$8)</f>
        <v>0.9588132635</v>
      </c>
      <c r="G663" s="20">
        <f t="shared" si="661"/>
        <v>8.905759162</v>
      </c>
      <c r="H663" s="20">
        <f t="shared" si="661"/>
        <v>9.389179756</v>
      </c>
      <c r="I663" s="20">
        <f t="shared" si="661"/>
        <v>4.728446771</v>
      </c>
    </row>
    <row r="664" ht="15.75" customHeight="1">
      <c r="A664" s="10">
        <f>Dados!A666</f>
        <v>44790.66667</v>
      </c>
      <c r="B664" s="19">
        <f>Dados!B666</f>
        <v>64.88</v>
      </c>
      <c r="C664" s="19">
        <f>Dados!D666</f>
        <v>291.32</v>
      </c>
      <c r="D664" s="19">
        <f>Dados!F666</f>
        <v>304</v>
      </c>
      <c r="E664" s="19">
        <f>Dados!H666</f>
        <v>174.55</v>
      </c>
      <c r="F664" s="20">
        <f t="shared" ref="F664:I664" si="662">STANDARDIZE(B664,$L$7,$L$8)</f>
        <v>0.9535776614</v>
      </c>
      <c r="G664" s="20">
        <f t="shared" si="662"/>
        <v>8.857242583</v>
      </c>
      <c r="H664" s="20">
        <f t="shared" si="662"/>
        <v>9.29982548</v>
      </c>
      <c r="I664" s="20">
        <f t="shared" si="662"/>
        <v>4.781500873</v>
      </c>
    </row>
    <row r="665" ht="15.75" customHeight="1">
      <c r="A665" s="10">
        <f>Dados!A667</f>
        <v>44791.66667</v>
      </c>
      <c r="B665" s="19">
        <f>Dados!B667</f>
        <v>65.22</v>
      </c>
      <c r="C665" s="19">
        <f>Dados!D667</f>
        <v>290.17</v>
      </c>
      <c r="D665" s="19">
        <f>Dados!F667</f>
        <v>302.87</v>
      </c>
      <c r="E665" s="19">
        <f>Dados!H667</f>
        <v>174.15</v>
      </c>
      <c r="F665" s="20">
        <f t="shared" ref="F665:I665" si="663">STANDARDIZE(B665,$L$7,$L$8)</f>
        <v>0.9654450262</v>
      </c>
      <c r="G665" s="20">
        <f t="shared" si="663"/>
        <v>8.817102967</v>
      </c>
      <c r="H665" s="20">
        <f t="shared" si="663"/>
        <v>9.260383944</v>
      </c>
      <c r="I665" s="20">
        <f t="shared" si="663"/>
        <v>4.767539267</v>
      </c>
    </row>
    <row r="666" ht="15.75" customHeight="1">
      <c r="A666" s="10">
        <f>Dados!A668</f>
        <v>44792.66667</v>
      </c>
      <c r="B666" s="19">
        <f>Dados!B668</f>
        <v>65.17</v>
      </c>
      <c r="C666" s="19">
        <f>Dados!D668</f>
        <v>286.15</v>
      </c>
      <c r="D666" s="19">
        <f>Dados!F668</f>
        <v>296.67</v>
      </c>
      <c r="E666" s="19">
        <f>Dados!H668</f>
        <v>171.52</v>
      </c>
      <c r="F666" s="20">
        <f t="shared" ref="F666:I666" si="664">STANDARDIZE(B666,$L$7,$L$8)</f>
        <v>0.9636998255</v>
      </c>
      <c r="G666" s="20">
        <f t="shared" si="664"/>
        <v>8.676788831</v>
      </c>
      <c r="H666" s="20">
        <f t="shared" si="664"/>
        <v>9.043979058</v>
      </c>
      <c r="I666" s="20">
        <f t="shared" si="664"/>
        <v>4.67574171</v>
      </c>
    </row>
    <row r="667" ht="15.75" customHeight="1">
      <c r="A667" s="10">
        <f>Dados!A669</f>
        <v>44795.66667</v>
      </c>
      <c r="B667" s="19">
        <f>Dados!B669</f>
        <v>64.2</v>
      </c>
      <c r="C667" s="19">
        <f>Dados!D669</f>
        <v>277.75</v>
      </c>
      <c r="D667" s="19">
        <f>Dados!F669</f>
        <v>289.91</v>
      </c>
      <c r="E667" s="19">
        <f>Dados!H669</f>
        <v>167.57</v>
      </c>
      <c r="F667" s="20">
        <f t="shared" ref="F667:I667" si="665">STANDARDIZE(B667,$L$7,$L$8)</f>
        <v>0.9298429319</v>
      </c>
      <c r="G667" s="20">
        <f t="shared" si="665"/>
        <v>8.383595113</v>
      </c>
      <c r="H667" s="20">
        <f t="shared" si="665"/>
        <v>8.808027923</v>
      </c>
      <c r="I667" s="20">
        <f t="shared" si="665"/>
        <v>4.537870855</v>
      </c>
    </row>
    <row r="668" ht="15.75" customHeight="1">
      <c r="A668" s="10">
        <f>Dados!A670</f>
        <v>44796.66667</v>
      </c>
      <c r="B668" s="19">
        <f>Dados!B670</f>
        <v>64.27</v>
      </c>
      <c r="C668" s="19">
        <f>Dados!D670</f>
        <v>276.44</v>
      </c>
      <c r="D668" s="19">
        <f>Dados!F670</f>
        <v>296.45</v>
      </c>
      <c r="E668" s="19">
        <f>Dados!H670</f>
        <v>167.23</v>
      </c>
      <c r="F668" s="20">
        <f t="shared" ref="F668:I668" si="666">STANDARDIZE(B668,$L$7,$L$8)</f>
        <v>0.9322862129</v>
      </c>
      <c r="G668" s="20">
        <f t="shared" si="666"/>
        <v>8.337870855</v>
      </c>
      <c r="H668" s="20">
        <f t="shared" si="666"/>
        <v>9.036300175</v>
      </c>
      <c r="I668" s="20">
        <f t="shared" si="666"/>
        <v>4.52600349</v>
      </c>
    </row>
    <row r="669" ht="15.75" customHeight="1">
      <c r="A669" s="10">
        <f>Dados!A671</f>
        <v>44797.66667</v>
      </c>
      <c r="B669" s="19">
        <f>Dados!B671</f>
        <v>64.36</v>
      </c>
      <c r="C669" s="19">
        <f>Dados!D671</f>
        <v>275.79</v>
      </c>
      <c r="D669" s="19">
        <f>Dados!F671</f>
        <v>297.1</v>
      </c>
      <c r="E669" s="19">
        <f>Dados!H671</f>
        <v>167.53</v>
      </c>
      <c r="F669" s="20">
        <f t="shared" ref="F669:I669" si="667">STANDARDIZE(B669,$L$7,$L$8)</f>
        <v>0.9354275742</v>
      </c>
      <c r="G669" s="20">
        <f t="shared" si="667"/>
        <v>8.315183246</v>
      </c>
      <c r="H669" s="20">
        <f t="shared" si="667"/>
        <v>9.058987784</v>
      </c>
      <c r="I669" s="20">
        <f t="shared" si="667"/>
        <v>4.536474695</v>
      </c>
    </row>
    <row r="670" ht="15.75" customHeight="1">
      <c r="A670" s="10">
        <f>Dados!A672</f>
        <v>44798.66667</v>
      </c>
      <c r="B670" s="19">
        <f>Dados!B672</f>
        <v>64.67</v>
      </c>
      <c r="C670" s="19">
        <f>Dados!D672</f>
        <v>278.85</v>
      </c>
      <c r="D670" s="19">
        <f>Dados!F672</f>
        <v>296.07</v>
      </c>
      <c r="E670" s="19">
        <f>Dados!H672</f>
        <v>170.03</v>
      </c>
      <c r="F670" s="20">
        <f t="shared" ref="F670:I670" si="668">STANDARDIZE(B670,$L$7,$L$8)</f>
        <v>0.9462478185</v>
      </c>
      <c r="G670" s="20">
        <f t="shared" si="668"/>
        <v>8.421989529</v>
      </c>
      <c r="H670" s="20">
        <f t="shared" si="668"/>
        <v>9.023036649</v>
      </c>
      <c r="I670" s="20">
        <f t="shared" si="668"/>
        <v>4.623734729</v>
      </c>
    </row>
    <row r="671" ht="15.75" customHeight="1">
      <c r="A671" s="10">
        <f>Dados!A673</f>
        <v>44799.66667</v>
      </c>
      <c r="B671" s="19">
        <f>Dados!B673</f>
        <v>63.11</v>
      </c>
      <c r="C671" s="19">
        <f>Dados!D673</f>
        <v>268.09</v>
      </c>
      <c r="D671" s="19">
        <f>Dados!F673</f>
        <v>288.09</v>
      </c>
      <c r="E671" s="19">
        <f>Dados!H673</f>
        <v>163.62</v>
      </c>
      <c r="F671" s="20">
        <f t="shared" ref="F671:I671" si="669">STANDARDIZE(B671,$L$7,$L$8)</f>
        <v>0.8917975567</v>
      </c>
      <c r="G671" s="20">
        <f t="shared" si="669"/>
        <v>8.046422339</v>
      </c>
      <c r="H671" s="20">
        <f t="shared" si="669"/>
        <v>8.744502618</v>
      </c>
      <c r="I671" s="20">
        <f t="shared" si="669"/>
        <v>4.4</v>
      </c>
    </row>
    <row r="672" ht="15.75" customHeight="1">
      <c r="A672" s="10">
        <f>Dados!A674</f>
        <v>44802.66667</v>
      </c>
      <c r="B672" s="19">
        <f>Dados!B674</f>
        <v>62.73</v>
      </c>
      <c r="C672" s="19">
        <f>Dados!D674</f>
        <v>265.23</v>
      </c>
      <c r="D672" s="19">
        <f>Dados!F674</f>
        <v>284.82</v>
      </c>
      <c r="E672" s="19">
        <f>Dados!H674</f>
        <v>161.38</v>
      </c>
      <c r="F672" s="20">
        <f t="shared" ref="F672:I672" si="670">STANDARDIZE(B672,$L$7,$L$8)</f>
        <v>0.8785340314</v>
      </c>
      <c r="G672" s="20">
        <f t="shared" si="670"/>
        <v>7.946596859</v>
      </c>
      <c r="H672" s="20">
        <f t="shared" si="670"/>
        <v>8.630366492</v>
      </c>
      <c r="I672" s="20">
        <f t="shared" si="670"/>
        <v>4.321815009</v>
      </c>
    </row>
    <row r="673" ht="15.75" customHeight="1">
      <c r="A673" s="10">
        <f>Dados!A675</f>
        <v>44803.66667</v>
      </c>
      <c r="B673" s="19">
        <f>Dados!B675</f>
        <v>62.15</v>
      </c>
      <c r="C673" s="19">
        <f>Dados!D675</f>
        <v>262.97</v>
      </c>
      <c r="D673" s="19">
        <f>Dados!F675</f>
        <v>277.7</v>
      </c>
      <c r="E673" s="19">
        <f>Dados!H675</f>
        <v>158.91</v>
      </c>
      <c r="F673" s="20">
        <f t="shared" ref="F673:I673" si="671">STANDARDIZE(B673,$L$7,$L$8)</f>
        <v>0.8582897033</v>
      </c>
      <c r="G673" s="20">
        <f t="shared" si="671"/>
        <v>7.867713787</v>
      </c>
      <c r="H673" s="20">
        <f t="shared" si="671"/>
        <v>8.381849913</v>
      </c>
      <c r="I673" s="20">
        <f t="shared" si="671"/>
        <v>4.235602094</v>
      </c>
    </row>
    <row r="674" ht="15.75" customHeight="1">
      <c r="A674" s="10">
        <f>Dados!A676</f>
        <v>44804.66667</v>
      </c>
      <c r="B674" s="19">
        <f>Dados!B676</f>
        <v>61.71</v>
      </c>
      <c r="C674" s="19">
        <f>Dados!D676</f>
        <v>261.47</v>
      </c>
      <c r="D674" s="19">
        <f>Dados!F676</f>
        <v>275.61</v>
      </c>
      <c r="E674" s="19">
        <f>Dados!H676</f>
        <v>157.22</v>
      </c>
      <c r="F674" s="20">
        <f t="shared" ref="F674:I674" si="672">STANDARDIZE(B674,$L$7,$L$8)</f>
        <v>0.8429319372</v>
      </c>
      <c r="G674" s="20">
        <f t="shared" si="672"/>
        <v>7.815357766</v>
      </c>
      <c r="H674" s="20">
        <f t="shared" si="672"/>
        <v>8.308900524</v>
      </c>
      <c r="I674" s="20">
        <f t="shared" si="672"/>
        <v>4.176614311</v>
      </c>
    </row>
    <row r="675" ht="15.75" customHeight="1">
      <c r="A675" s="10">
        <f>Dados!A677</f>
        <v>44805.66667</v>
      </c>
      <c r="B675" s="19">
        <f>Dados!B677</f>
        <v>62</v>
      </c>
      <c r="C675" s="19">
        <f>Dados!D677</f>
        <v>260.4</v>
      </c>
      <c r="D675" s="19">
        <f>Dados!F677</f>
        <v>277.16</v>
      </c>
      <c r="E675" s="19">
        <f>Dados!H677</f>
        <v>157.96</v>
      </c>
      <c r="F675" s="20">
        <f t="shared" ref="F675:I675" si="673">STANDARDIZE(B675,$L$7,$L$8)</f>
        <v>0.8530541012</v>
      </c>
      <c r="G675" s="20">
        <f t="shared" si="673"/>
        <v>7.778010471</v>
      </c>
      <c r="H675" s="20">
        <f t="shared" si="673"/>
        <v>8.363001745</v>
      </c>
      <c r="I675" s="20">
        <f t="shared" si="673"/>
        <v>4.202443281</v>
      </c>
    </row>
    <row r="676" ht="15.75" customHeight="1">
      <c r="A676" s="10">
        <f>Dados!A678</f>
        <v>44806.66667</v>
      </c>
      <c r="B676" s="19">
        <f>Dados!B678</f>
        <v>61.15</v>
      </c>
      <c r="C676" s="19">
        <f>Dados!D678</f>
        <v>256.06</v>
      </c>
      <c r="D676" s="19">
        <f>Dados!F678</f>
        <v>270.21</v>
      </c>
      <c r="E676" s="19">
        <f>Dados!H678</f>
        <v>155.81</v>
      </c>
      <c r="F676" s="20">
        <f t="shared" ref="F676:I676" si="674">STANDARDIZE(B676,$L$7,$L$8)</f>
        <v>0.8233856894</v>
      </c>
      <c r="G676" s="20">
        <f t="shared" si="674"/>
        <v>7.626527051</v>
      </c>
      <c r="H676" s="20">
        <f t="shared" si="674"/>
        <v>8.120418848</v>
      </c>
      <c r="I676" s="20">
        <f t="shared" si="674"/>
        <v>4.127399651</v>
      </c>
    </row>
    <row r="677" ht="15.75" customHeight="1">
      <c r="A677" s="10">
        <f>Dados!A679</f>
        <v>44810.66667</v>
      </c>
      <c r="B677" s="19">
        <f>Dados!B679</f>
        <v>61.18</v>
      </c>
      <c r="C677" s="19">
        <f>Dados!D679</f>
        <v>253.25</v>
      </c>
      <c r="D677" s="19">
        <f>Dados!F679</f>
        <v>274.42</v>
      </c>
      <c r="E677" s="19">
        <f>Dados!H679</f>
        <v>154.53</v>
      </c>
      <c r="F677" s="20">
        <f t="shared" ref="F677:I677" si="675">STANDARDIZE(B677,$L$7,$L$8)</f>
        <v>0.8244328098</v>
      </c>
      <c r="G677" s="20">
        <f t="shared" si="675"/>
        <v>7.528446771</v>
      </c>
      <c r="H677" s="20">
        <f t="shared" si="675"/>
        <v>8.267364747</v>
      </c>
      <c r="I677" s="20">
        <f t="shared" si="675"/>
        <v>4.082722513</v>
      </c>
    </row>
    <row r="678" ht="15.75" customHeight="1">
      <c r="A678" s="10">
        <f>Dados!A680</f>
        <v>44811.66667</v>
      </c>
      <c r="B678" s="19">
        <f>Dados!B680</f>
        <v>62.31</v>
      </c>
      <c r="C678" s="19">
        <f>Dados!D680</f>
        <v>258.09</v>
      </c>
      <c r="D678" s="19">
        <f>Dados!F680</f>
        <v>283.7</v>
      </c>
      <c r="E678" s="19">
        <f>Dados!H680</f>
        <v>155.96</v>
      </c>
      <c r="F678" s="20">
        <f t="shared" ref="F678:I678" si="676">STANDARDIZE(B678,$L$7,$L$8)</f>
        <v>0.8638743455</v>
      </c>
      <c r="G678" s="20">
        <f t="shared" si="676"/>
        <v>7.697382199</v>
      </c>
      <c r="H678" s="20">
        <f t="shared" si="676"/>
        <v>8.591273997</v>
      </c>
      <c r="I678" s="20">
        <f t="shared" si="676"/>
        <v>4.132635253</v>
      </c>
    </row>
    <row r="679" ht="15.75" customHeight="1">
      <c r="A679" s="10">
        <f>Dados!A681</f>
        <v>44812.66667</v>
      </c>
      <c r="B679" s="19">
        <f>Dados!B681</f>
        <v>62.12</v>
      </c>
      <c r="C679" s="19">
        <f>Dados!D681</f>
        <v>258.52</v>
      </c>
      <c r="D679" s="19">
        <f>Dados!F681</f>
        <v>289.26</v>
      </c>
      <c r="E679" s="19">
        <f>Dados!H681</f>
        <v>154.46</v>
      </c>
      <c r="F679" s="20">
        <f t="shared" ref="F679:I679" si="677">STANDARDIZE(B679,$L$7,$L$8)</f>
        <v>0.8572425829</v>
      </c>
      <c r="G679" s="20">
        <f t="shared" si="677"/>
        <v>7.712390925</v>
      </c>
      <c r="H679" s="20">
        <f t="shared" si="677"/>
        <v>8.785340314</v>
      </c>
      <c r="I679" s="20">
        <f t="shared" si="677"/>
        <v>4.080279232</v>
      </c>
    </row>
    <row r="680" ht="15.75" customHeight="1">
      <c r="A680" s="10">
        <f>Dados!A682</f>
        <v>44813.66667</v>
      </c>
      <c r="B680" s="19">
        <f>Dados!B682</f>
        <v>62.32</v>
      </c>
      <c r="C680" s="19">
        <f>Dados!D682</f>
        <v>264.46</v>
      </c>
      <c r="D680" s="19">
        <f>Dados!F682</f>
        <v>299.68</v>
      </c>
      <c r="E680" s="19">
        <f>Dados!H682</f>
        <v>157.37</v>
      </c>
      <c r="F680" s="20">
        <f t="shared" ref="F680:I680" si="678">STANDARDIZE(B680,$L$7,$L$8)</f>
        <v>0.8642233857</v>
      </c>
      <c r="G680" s="20">
        <f t="shared" si="678"/>
        <v>7.919720768</v>
      </c>
      <c r="H680" s="20">
        <f t="shared" si="678"/>
        <v>9.14904014</v>
      </c>
      <c r="I680" s="20">
        <f t="shared" si="678"/>
        <v>4.181849913</v>
      </c>
    </row>
    <row r="681" ht="15.75" customHeight="1">
      <c r="A681" s="10">
        <f>Dados!A683</f>
        <v>44816.66667</v>
      </c>
      <c r="B681" s="19">
        <f>Dados!B683</f>
        <v>62.5</v>
      </c>
      <c r="C681" s="19">
        <f>Dados!D683</f>
        <v>266.65</v>
      </c>
      <c r="D681" s="19">
        <f>Dados!F683</f>
        <v>304.42</v>
      </c>
      <c r="E681" s="19">
        <f>Dados!H683</f>
        <v>163.43</v>
      </c>
      <c r="F681" s="20">
        <f t="shared" ref="F681:I681" si="679">STANDARDIZE(B681,$L$7,$L$8)</f>
        <v>0.8705061082</v>
      </c>
      <c r="G681" s="20">
        <f t="shared" si="679"/>
        <v>7.996160558</v>
      </c>
      <c r="H681" s="20">
        <f t="shared" si="679"/>
        <v>9.314485166</v>
      </c>
      <c r="I681" s="20">
        <f t="shared" si="679"/>
        <v>4.393368237</v>
      </c>
    </row>
    <row r="682" ht="15.75" customHeight="1">
      <c r="A682" s="10">
        <f>Dados!A684</f>
        <v>44817.66667</v>
      </c>
      <c r="B682" s="19">
        <f>Dados!B684</f>
        <v>60.47</v>
      </c>
      <c r="C682" s="19">
        <f>Dados!D684</f>
        <v>251.99</v>
      </c>
      <c r="D682" s="19">
        <f>Dados!F684</f>
        <v>292.13</v>
      </c>
      <c r="E682" s="19">
        <f>Dados!H684</f>
        <v>153.84</v>
      </c>
      <c r="F682" s="20">
        <f t="shared" ref="F682:I682" si="680">STANDARDIZE(B682,$L$7,$L$8)</f>
        <v>0.7996509599</v>
      </c>
      <c r="G682" s="20">
        <f t="shared" si="680"/>
        <v>7.484467714</v>
      </c>
      <c r="H682" s="20">
        <f t="shared" si="680"/>
        <v>8.885514834</v>
      </c>
      <c r="I682" s="20">
        <f t="shared" si="680"/>
        <v>4.058638743</v>
      </c>
    </row>
    <row r="683" ht="15.75" customHeight="1">
      <c r="A683" s="10">
        <f>Dados!A685</f>
        <v>44818.66667</v>
      </c>
      <c r="B683" s="19">
        <f>Dados!B685</f>
        <v>60.79</v>
      </c>
      <c r="C683" s="19">
        <f>Dados!D685</f>
        <v>252.22</v>
      </c>
      <c r="D683" s="19">
        <f>Dados!F685</f>
        <v>302.61</v>
      </c>
      <c r="E683" s="19">
        <f>Dados!H685</f>
        <v>155.31</v>
      </c>
      <c r="F683" s="20">
        <f t="shared" ref="F683:I683" si="681">STANDARDIZE(B683,$L$7,$L$8)</f>
        <v>0.8108202443</v>
      </c>
      <c r="G683" s="20">
        <f t="shared" si="681"/>
        <v>7.492495637</v>
      </c>
      <c r="H683" s="20">
        <f t="shared" si="681"/>
        <v>9.251308901</v>
      </c>
      <c r="I683" s="20">
        <f t="shared" si="681"/>
        <v>4.109947644</v>
      </c>
    </row>
    <row r="684" ht="15.75" customHeight="1">
      <c r="A684" s="10">
        <f>Dados!A686</f>
        <v>44819.66667</v>
      </c>
      <c r="B684" s="19">
        <f>Dados!B686</f>
        <v>59.53</v>
      </c>
      <c r="C684" s="19">
        <f>Dados!D686</f>
        <v>245.38</v>
      </c>
      <c r="D684" s="19">
        <f>Dados!F686</f>
        <v>303.75</v>
      </c>
      <c r="E684" s="19">
        <f>Dados!H686</f>
        <v>152.37</v>
      </c>
      <c r="F684" s="20">
        <f t="shared" ref="F684:I684" si="682">STANDARDIZE(B684,$L$7,$L$8)</f>
        <v>0.7668411867</v>
      </c>
      <c r="G684" s="20">
        <f t="shared" si="682"/>
        <v>7.253752182</v>
      </c>
      <c r="H684" s="20">
        <f t="shared" si="682"/>
        <v>9.291099476</v>
      </c>
      <c r="I684" s="20">
        <f t="shared" si="682"/>
        <v>4.007329843</v>
      </c>
    </row>
    <row r="685" ht="15.75" customHeight="1">
      <c r="A685" s="10">
        <f>Dados!A687</f>
        <v>44820.66667</v>
      </c>
      <c r="B685" s="19">
        <f>Dados!B687</f>
        <v>59.54</v>
      </c>
      <c r="C685" s="19">
        <f>Dados!D687</f>
        <v>244.74</v>
      </c>
      <c r="D685" s="19">
        <f>Dados!F687</f>
        <v>303.35</v>
      </c>
      <c r="E685" s="19">
        <f>Dados!H687</f>
        <v>150.7</v>
      </c>
      <c r="F685" s="20">
        <f t="shared" ref="F685:I685" si="683">STANDARDIZE(B685,$L$7,$L$8)</f>
        <v>0.7671902269</v>
      </c>
      <c r="G685" s="20">
        <f t="shared" si="683"/>
        <v>7.231413613</v>
      </c>
      <c r="H685" s="20">
        <f t="shared" si="683"/>
        <v>9.277137871</v>
      </c>
      <c r="I685" s="20">
        <f t="shared" si="683"/>
        <v>3.94904014</v>
      </c>
    </row>
    <row r="686" ht="15.75" customHeight="1">
      <c r="A686" s="10">
        <f>Dados!A688</f>
        <v>44823.66667</v>
      </c>
      <c r="B686" s="19">
        <f>Dados!B688</f>
        <v>59.99</v>
      </c>
      <c r="C686" s="19">
        <f>Dados!D688</f>
        <v>244.52</v>
      </c>
      <c r="D686" s="19">
        <f>Dados!F688</f>
        <v>309.07</v>
      </c>
      <c r="E686" s="19">
        <f>Dados!H688</f>
        <v>154.48</v>
      </c>
      <c r="F686" s="20">
        <f t="shared" ref="F686:I686" si="684">STANDARDIZE(B686,$L$7,$L$8)</f>
        <v>0.7828970332</v>
      </c>
      <c r="G686" s="20">
        <f t="shared" si="684"/>
        <v>7.223734729</v>
      </c>
      <c r="H686" s="20">
        <f t="shared" si="684"/>
        <v>9.476788831</v>
      </c>
      <c r="I686" s="20">
        <f t="shared" si="684"/>
        <v>4.080977312</v>
      </c>
    </row>
    <row r="687" ht="15.75" customHeight="1">
      <c r="A687" s="10">
        <f>Dados!A689</f>
        <v>44824.66667</v>
      </c>
      <c r="B687" s="19">
        <f>Dados!B689</f>
        <v>59.9</v>
      </c>
      <c r="C687" s="19">
        <f>Dados!D689</f>
        <v>242.45</v>
      </c>
      <c r="D687" s="19">
        <f>Dados!F689</f>
        <v>308.73</v>
      </c>
      <c r="E687" s="19">
        <f>Dados!H689</f>
        <v>156.9</v>
      </c>
      <c r="F687" s="20">
        <f t="shared" ref="F687:I687" si="685">STANDARDIZE(B687,$L$7,$L$8)</f>
        <v>0.7797556719</v>
      </c>
      <c r="G687" s="20">
        <f t="shared" si="685"/>
        <v>7.151483421</v>
      </c>
      <c r="H687" s="20">
        <f t="shared" si="685"/>
        <v>9.464921466</v>
      </c>
      <c r="I687" s="20">
        <f t="shared" si="685"/>
        <v>4.165445026</v>
      </c>
    </row>
    <row r="688" ht="15.75" customHeight="1">
      <c r="A688" s="10">
        <f>Dados!A690</f>
        <v>44825.66667</v>
      </c>
      <c r="B688" s="19">
        <f>Dados!B690</f>
        <v>59.4</v>
      </c>
      <c r="C688" s="19">
        <f>Dados!D690</f>
        <v>238.95</v>
      </c>
      <c r="D688" s="19">
        <f>Dados!F690</f>
        <v>300.8</v>
      </c>
      <c r="E688" s="19">
        <f>Dados!H690</f>
        <v>153.72</v>
      </c>
      <c r="F688" s="20">
        <f t="shared" ref="F688:I688" si="686">STANDARDIZE(B688,$L$7,$L$8)</f>
        <v>0.7623036649</v>
      </c>
      <c r="G688" s="20">
        <f t="shared" si="686"/>
        <v>7.029319372</v>
      </c>
      <c r="H688" s="20">
        <f t="shared" si="686"/>
        <v>9.188132635</v>
      </c>
      <c r="I688" s="20">
        <f t="shared" si="686"/>
        <v>4.054450262</v>
      </c>
    </row>
    <row r="689" ht="15.75" customHeight="1">
      <c r="A689" s="10">
        <f>Dados!A691</f>
        <v>44826.66667</v>
      </c>
      <c r="B689" s="19">
        <f>Dados!B691</f>
        <v>59.26</v>
      </c>
      <c r="C689" s="19">
        <f>Dados!D691</f>
        <v>240.98</v>
      </c>
      <c r="D689" s="19">
        <f>Dados!F691</f>
        <v>288.59</v>
      </c>
      <c r="E689" s="19">
        <f>Dados!H691</f>
        <v>152.74</v>
      </c>
      <c r="F689" s="20">
        <f t="shared" ref="F689:I689" si="687">STANDARDIZE(B689,$L$7,$L$8)</f>
        <v>0.757417103</v>
      </c>
      <c r="G689" s="20">
        <f t="shared" si="687"/>
        <v>7.10017452</v>
      </c>
      <c r="H689" s="20">
        <f t="shared" si="687"/>
        <v>8.761954625</v>
      </c>
      <c r="I689" s="20">
        <f t="shared" si="687"/>
        <v>4.020244328</v>
      </c>
    </row>
    <row r="690" ht="15.75" customHeight="1">
      <c r="A690" s="10">
        <f>Dados!A692</f>
        <v>44827.66667</v>
      </c>
      <c r="B690" s="19">
        <f>Dados!B692</f>
        <v>58.6</v>
      </c>
      <c r="C690" s="19">
        <f>Dados!D692</f>
        <v>237.92</v>
      </c>
      <c r="D690" s="19">
        <f>Dados!F692</f>
        <v>275.33</v>
      </c>
      <c r="E690" s="19">
        <f>Dados!H692</f>
        <v>150.43</v>
      </c>
      <c r="F690" s="20">
        <f t="shared" ref="F690:I690" si="688">STANDARDIZE(B690,$L$7,$L$8)</f>
        <v>0.7343804538</v>
      </c>
      <c r="G690" s="20">
        <f t="shared" si="688"/>
        <v>6.993368237</v>
      </c>
      <c r="H690" s="20">
        <f t="shared" si="688"/>
        <v>8.2991274</v>
      </c>
      <c r="I690" s="20">
        <f t="shared" si="688"/>
        <v>3.939616056</v>
      </c>
    </row>
    <row r="691" ht="15.75" customHeight="1">
      <c r="A691" s="10">
        <f>Dados!A693</f>
        <v>44830.66667</v>
      </c>
      <c r="B691" s="19">
        <f>Dados!B693</f>
        <v>57.87</v>
      </c>
      <c r="C691" s="19">
        <f>Dados!D693</f>
        <v>237.45</v>
      </c>
      <c r="D691" s="19">
        <f>Dados!F693</f>
        <v>276.01</v>
      </c>
      <c r="E691" s="19">
        <f>Dados!H693</f>
        <v>150.77</v>
      </c>
      <c r="F691" s="20">
        <f t="shared" ref="F691:I691" si="689">STANDARDIZE(B691,$L$7,$L$8)</f>
        <v>0.7089005236</v>
      </c>
      <c r="G691" s="20">
        <f t="shared" si="689"/>
        <v>6.976963351</v>
      </c>
      <c r="H691" s="20">
        <f t="shared" si="689"/>
        <v>8.322862129</v>
      </c>
      <c r="I691" s="20">
        <f t="shared" si="689"/>
        <v>3.951483421</v>
      </c>
    </row>
    <row r="692" ht="15.75" customHeight="1">
      <c r="A692" s="10">
        <f>Dados!A694</f>
        <v>44831.66667</v>
      </c>
      <c r="B692" s="19">
        <f>Dados!B694</f>
        <v>56.38</v>
      </c>
      <c r="C692" s="19">
        <f>Dados!D694</f>
        <v>236.41</v>
      </c>
      <c r="D692" s="19">
        <f>Dados!F694</f>
        <v>282.94</v>
      </c>
      <c r="E692" s="19">
        <f>Dados!H694</f>
        <v>151.76</v>
      </c>
      <c r="F692" s="20">
        <f t="shared" ref="F692:I692" si="690">STANDARDIZE(B692,$L$7,$L$8)</f>
        <v>0.6568935428</v>
      </c>
      <c r="G692" s="20">
        <f t="shared" si="690"/>
        <v>6.940663176</v>
      </c>
      <c r="H692" s="20">
        <f t="shared" si="690"/>
        <v>8.564746946</v>
      </c>
      <c r="I692" s="20">
        <f t="shared" si="690"/>
        <v>3.986038394</v>
      </c>
    </row>
    <row r="693" ht="15.75" customHeight="1">
      <c r="A693" s="10">
        <f>Dados!A695</f>
        <v>44832.66667</v>
      </c>
      <c r="B693" s="19">
        <f>Dados!B695</f>
        <v>56.98</v>
      </c>
      <c r="C693" s="19">
        <f>Dados!D695</f>
        <v>241.07</v>
      </c>
      <c r="D693" s="19">
        <f>Dados!F695</f>
        <v>287.81</v>
      </c>
      <c r="E693" s="19">
        <f>Dados!H695</f>
        <v>149.84</v>
      </c>
      <c r="F693" s="20">
        <f t="shared" ref="F693:I693" si="691">STANDARDIZE(B693,$L$7,$L$8)</f>
        <v>0.6778359511</v>
      </c>
      <c r="G693" s="20">
        <f t="shared" si="691"/>
        <v>7.103315881</v>
      </c>
      <c r="H693" s="20">
        <f t="shared" si="691"/>
        <v>8.734729494</v>
      </c>
      <c r="I693" s="20">
        <f t="shared" si="691"/>
        <v>3.919022688</v>
      </c>
    </row>
    <row r="694" ht="15.75" customHeight="1">
      <c r="A694" s="10">
        <f>Dados!A696</f>
        <v>44833.66667</v>
      </c>
      <c r="B694" s="19">
        <f>Dados!B696</f>
        <v>56.57</v>
      </c>
      <c r="C694" s="19">
        <f>Dados!D696</f>
        <v>237.5</v>
      </c>
      <c r="D694" s="19">
        <f>Dados!F696</f>
        <v>268.21</v>
      </c>
      <c r="E694" s="19">
        <f>Dados!H696</f>
        <v>142.48</v>
      </c>
      <c r="F694" s="20">
        <f t="shared" ref="F694:I694" si="692">STANDARDIZE(B694,$L$7,$L$8)</f>
        <v>0.6635253054</v>
      </c>
      <c r="G694" s="20">
        <f t="shared" si="692"/>
        <v>6.978708551</v>
      </c>
      <c r="H694" s="20">
        <f t="shared" si="692"/>
        <v>8.05061082</v>
      </c>
      <c r="I694" s="20">
        <f t="shared" si="692"/>
        <v>3.662129145</v>
      </c>
    </row>
    <row r="695" ht="15.75" customHeight="1">
      <c r="A695" s="10">
        <f>Dados!A697</f>
        <v>44834.66667</v>
      </c>
      <c r="B695" s="19">
        <f>Dados!B697</f>
        <v>56.02</v>
      </c>
      <c r="C695" s="19">
        <f>Dados!D697</f>
        <v>232.9</v>
      </c>
      <c r="D695" s="19">
        <f>Dados!F697</f>
        <v>265.25</v>
      </c>
      <c r="E695" s="19">
        <f>Dados!H697</f>
        <v>138.2</v>
      </c>
      <c r="F695" s="20">
        <f t="shared" ref="F695:I695" si="693">STANDARDIZE(B695,$L$7,$L$8)</f>
        <v>0.6443280977</v>
      </c>
      <c r="G695" s="20">
        <f t="shared" si="693"/>
        <v>6.818150087</v>
      </c>
      <c r="H695" s="20">
        <f t="shared" si="693"/>
        <v>7.947294939</v>
      </c>
      <c r="I695" s="20">
        <f t="shared" si="693"/>
        <v>3.512739965</v>
      </c>
    </row>
    <row r="696" ht="15.75" customHeight="1">
      <c r="A696" s="10">
        <f>Dados!A698</f>
        <v>44837.66667</v>
      </c>
      <c r="B696" s="19">
        <f>Dados!B698</f>
        <v>56.65</v>
      </c>
      <c r="C696" s="19">
        <f>Dados!D698</f>
        <v>240.74</v>
      </c>
      <c r="D696" s="19">
        <f>Dados!F698</f>
        <v>242.4</v>
      </c>
      <c r="E696" s="19">
        <f>Dados!H698</f>
        <v>142.45</v>
      </c>
      <c r="F696" s="20">
        <f t="shared" ref="F696:I696" si="694">STANDARDIZE(B696,$L$7,$L$8)</f>
        <v>0.6663176265</v>
      </c>
      <c r="G696" s="20">
        <f t="shared" si="694"/>
        <v>7.091797557</v>
      </c>
      <c r="H696" s="20">
        <f t="shared" si="694"/>
        <v>7.14973822</v>
      </c>
      <c r="I696" s="20">
        <f t="shared" si="694"/>
        <v>3.661082024</v>
      </c>
    </row>
    <row r="697" ht="15.75" customHeight="1">
      <c r="A697" s="10">
        <f>Dados!A699</f>
        <v>44838.66667</v>
      </c>
      <c r="B697" s="19">
        <f>Dados!B699</f>
        <v>56.78</v>
      </c>
      <c r="C697" s="19">
        <f>Dados!D699</f>
        <v>248.88</v>
      </c>
      <c r="D697" s="19">
        <f>Dados!F699</f>
        <v>249.44</v>
      </c>
      <c r="E697" s="19">
        <f>Dados!H699</f>
        <v>146.1</v>
      </c>
      <c r="F697" s="20">
        <f t="shared" ref="F697:I697" si="695">STANDARDIZE(B697,$L$7,$L$8)</f>
        <v>0.6708551483</v>
      </c>
      <c r="G697" s="20">
        <f t="shared" si="695"/>
        <v>7.37591623</v>
      </c>
      <c r="H697" s="20">
        <f t="shared" si="695"/>
        <v>7.395462478</v>
      </c>
      <c r="I697" s="20">
        <f t="shared" si="695"/>
        <v>3.788481675</v>
      </c>
    </row>
    <row r="698" ht="15.75" customHeight="1">
      <c r="A698" s="10">
        <f>Dados!A700</f>
        <v>44839.66667</v>
      </c>
      <c r="B698" s="19">
        <f>Dados!B700</f>
        <v>56.24</v>
      </c>
      <c r="C698" s="19">
        <f>Dados!D700</f>
        <v>249.2</v>
      </c>
      <c r="D698" s="19">
        <f>Dados!F700</f>
        <v>240.81</v>
      </c>
      <c r="E698" s="19">
        <f>Dados!H700</f>
        <v>146.4</v>
      </c>
      <c r="F698" s="20">
        <f t="shared" ref="F698:I698" si="696">STANDARDIZE(B698,$L$7,$L$8)</f>
        <v>0.6520069808</v>
      </c>
      <c r="G698" s="20">
        <f t="shared" si="696"/>
        <v>7.387085515</v>
      </c>
      <c r="H698" s="20">
        <f t="shared" si="696"/>
        <v>7.094240838</v>
      </c>
      <c r="I698" s="20">
        <f t="shared" si="696"/>
        <v>3.79895288</v>
      </c>
    </row>
    <row r="699" ht="15.75" customHeight="1">
      <c r="A699" s="10">
        <f>Dados!A701</f>
        <v>44840.66667</v>
      </c>
      <c r="B699" s="19">
        <f>Dados!B701</f>
        <v>55.03</v>
      </c>
      <c r="C699" s="19">
        <f>Dados!D701</f>
        <v>246.79</v>
      </c>
      <c r="D699" s="19">
        <f>Dados!F701</f>
        <v>238.13</v>
      </c>
      <c r="E699" s="19">
        <f>Dados!H701</f>
        <v>145.43</v>
      </c>
      <c r="F699" s="20">
        <f t="shared" ref="F699:I699" si="697">STANDARDIZE(B699,$L$7,$L$8)</f>
        <v>0.6097731239</v>
      </c>
      <c r="G699" s="20">
        <f t="shared" si="697"/>
        <v>7.302966841</v>
      </c>
      <c r="H699" s="20">
        <f t="shared" si="697"/>
        <v>7.00069808</v>
      </c>
      <c r="I699" s="20">
        <f t="shared" si="697"/>
        <v>3.765095986</v>
      </c>
    </row>
    <row r="700" ht="15.75" customHeight="1">
      <c r="A700" s="10">
        <f>Dados!A702</f>
        <v>44841.66667</v>
      </c>
      <c r="B700" s="19">
        <f>Dados!B702</f>
        <v>54.51</v>
      </c>
      <c r="C700" s="19">
        <f>Dados!D702</f>
        <v>234.24</v>
      </c>
      <c r="D700" s="19">
        <f>Dados!F702</f>
        <v>223.07</v>
      </c>
      <c r="E700" s="19">
        <f>Dados!H702</f>
        <v>140.09</v>
      </c>
      <c r="F700" s="20">
        <f t="shared" ref="F700:I700" si="698">STANDARDIZE(B700,$L$7,$L$8)</f>
        <v>0.5916230366</v>
      </c>
      <c r="G700" s="20">
        <f t="shared" si="698"/>
        <v>6.864921466</v>
      </c>
      <c r="H700" s="20">
        <f t="shared" si="698"/>
        <v>6.47504363</v>
      </c>
      <c r="I700" s="20">
        <f t="shared" si="698"/>
        <v>3.578708551</v>
      </c>
    </row>
    <row r="701" ht="15.75" customHeight="1">
      <c r="A701" s="10">
        <f>Dados!A703</f>
        <v>44844.66667</v>
      </c>
      <c r="B701" s="19">
        <f>Dados!B703</f>
        <v>54.39</v>
      </c>
      <c r="C701" s="19">
        <f>Dados!D703</f>
        <v>229.25</v>
      </c>
      <c r="D701" s="19">
        <f>Dados!F703</f>
        <v>222.96</v>
      </c>
      <c r="E701" s="19">
        <f>Dados!H703</f>
        <v>140.42</v>
      </c>
      <c r="F701" s="20">
        <f t="shared" ref="F701:I701" si="699">STANDARDIZE(B701,$L$7,$L$8)</f>
        <v>0.587434555</v>
      </c>
      <c r="G701" s="20">
        <f t="shared" si="699"/>
        <v>6.690750436</v>
      </c>
      <c r="H701" s="20">
        <f t="shared" si="699"/>
        <v>6.471204188</v>
      </c>
      <c r="I701" s="20">
        <f t="shared" si="699"/>
        <v>3.590226876</v>
      </c>
    </row>
    <row r="702" ht="15.75" customHeight="1">
      <c r="A702" s="10">
        <f>Dados!A704</f>
        <v>44845.66667</v>
      </c>
      <c r="B702" s="19">
        <f>Dados!B704</f>
        <v>54.48</v>
      </c>
      <c r="C702" s="19">
        <f>Dados!D704</f>
        <v>225.41</v>
      </c>
      <c r="D702" s="19">
        <f>Dados!F704</f>
        <v>216.5</v>
      </c>
      <c r="E702" s="19">
        <f>Dados!H704</f>
        <v>138.98</v>
      </c>
      <c r="F702" s="20">
        <f t="shared" ref="F702:I702" si="700">STANDARDIZE(B702,$L$7,$L$8)</f>
        <v>0.5905759162</v>
      </c>
      <c r="G702" s="20">
        <f t="shared" si="700"/>
        <v>6.556719023</v>
      </c>
      <c r="H702" s="20">
        <f t="shared" si="700"/>
        <v>6.245724258</v>
      </c>
      <c r="I702" s="20">
        <f t="shared" si="700"/>
        <v>3.539965096</v>
      </c>
    </row>
    <row r="703" ht="15.75" customHeight="1">
      <c r="A703" s="10">
        <f>Dados!A705</f>
        <v>44846.66667</v>
      </c>
      <c r="B703" s="19">
        <f>Dados!B705</f>
        <v>55.14</v>
      </c>
      <c r="C703" s="19">
        <f>Dados!D705</f>
        <v>225.75</v>
      </c>
      <c r="D703" s="19">
        <f>Dados!F705</f>
        <v>217.24</v>
      </c>
      <c r="E703" s="19">
        <f>Dados!H705</f>
        <v>138.34</v>
      </c>
      <c r="F703" s="20">
        <f t="shared" ref="F703:I703" si="701">STANDARDIZE(B703,$L$7,$L$8)</f>
        <v>0.6136125654</v>
      </c>
      <c r="G703" s="20">
        <f t="shared" si="701"/>
        <v>6.568586387</v>
      </c>
      <c r="H703" s="20">
        <f t="shared" si="701"/>
        <v>6.271553229</v>
      </c>
      <c r="I703" s="20">
        <f t="shared" si="701"/>
        <v>3.517626527</v>
      </c>
    </row>
    <row r="704" ht="15.75" customHeight="1">
      <c r="A704" s="10">
        <f>Dados!A706</f>
        <v>44847.66667</v>
      </c>
      <c r="B704" s="19">
        <f>Dados!B706</f>
        <v>55.87</v>
      </c>
      <c r="C704" s="19">
        <f>Dados!D706</f>
        <v>234.24</v>
      </c>
      <c r="D704" s="19">
        <f>Dados!F706</f>
        <v>221.72</v>
      </c>
      <c r="E704" s="19">
        <f>Dados!H706</f>
        <v>142.99</v>
      </c>
      <c r="F704" s="20">
        <f t="shared" ref="F704:I704" si="702">STANDARDIZE(B704,$L$7,$L$8)</f>
        <v>0.6390924956</v>
      </c>
      <c r="G704" s="20">
        <f t="shared" si="702"/>
        <v>6.864921466</v>
      </c>
      <c r="H704" s="20">
        <f t="shared" si="702"/>
        <v>6.427923211</v>
      </c>
      <c r="I704" s="20">
        <f t="shared" si="702"/>
        <v>3.679930192</v>
      </c>
    </row>
    <row r="705" ht="15.75" customHeight="1">
      <c r="A705" s="10">
        <f>Dados!A707</f>
        <v>44848.66667</v>
      </c>
      <c r="B705" s="19">
        <f>Dados!B707</f>
        <v>54.98</v>
      </c>
      <c r="C705" s="19">
        <f>Dados!D707</f>
        <v>228.56</v>
      </c>
      <c r="D705" s="19">
        <f>Dados!F707</f>
        <v>204.99</v>
      </c>
      <c r="E705" s="19">
        <f>Dados!H707</f>
        <v>138.38</v>
      </c>
      <c r="F705" s="20">
        <f t="shared" ref="F705:I705" si="703">STANDARDIZE(B705,$L$7,$L$8)</f>
        <v>0.6080279232</v>
      </c>
      <c r="G705" s="20">
        <f t="shared" si="703"/>
        <v>6.666666667</v>
      </c>
      <c r="H705" s="20">
        <f t="shared" si="703"/>
        <v>5.843979058</v>
      </c>
      <c r="I705" s="20">
        <f t="shared" si="703"/>
        <v>3.519022688</v>
      </c>
    </row>
    <row r="706" ht="15.75" customHeight="1">
      <c r="A706" s="10">
        <f>Dados!A708</f>
        <v>44851.66667</v>
      </c>
      <c r="B706" s="19">
        <f>Dados!B708</f>
        <v>55.69</v>
      </c>
      <c r="C706" s="19">
        <f>Dados!D708</f>
        <v>237.53</v>
      </c>
      <c r="D706" s="19">
        <f>Dados!F708</f>
        <v>219.35</v>
      </c>
      <c r="E706" s="19">
        <f>Dados!H708</f>
        <v>142.41</v>
      </c>
      <c r="F706" s="20">
        <f t="shared" ref="F706:I706" si="704">STANDARDIZE(B706,$L$7,$L$8)</f>
        <v>0.6328097731</v>
      </c>
      <c r="G706" s="20">
        <f t="shared" si="704"/>
        <v>6.979755672</v>
      </c>
      <c r="H706" s="20">
        <f t="shared" si="704"/>
        <v>6.345200698</v>
      </c>
      <c r="I706" s="20">
        <f t="shared" si="704"/>
        <v>3.659685864</v>
      </c>
    </row>
    <row r="707" ht="15.75" customHeight="1">
      <c r="A707" s="10">
        <f>Dados!A709</f>
        <v>44852.66667</v>
      </c>
      <c r="B707" s="19">
        <f>Dados!B709</f>
        <v>56.44</v>
      </c>
      <c r="C707" s="19">
        <f>Dados!D709</f>
        <v>238.5</v>
      </c>
      <c r="D707" s="19">
        <f>Dados!F709</f>
        <v>220.19</v>
      </c>
      <c r="E707" s="19">
        <f>Dados!H709</f>
        <v>143.75</v>
      </c>
      <c r="F707" s="20">
        <f t="shared" ref="F707:I707" si="705">STANDARDIZE(B707,$L$7,$L$8)</f>
        <v>0.6589877836</v>
      </c>
      <c r="G707" s="20">
        <f t="shared" si="705"/>
        <v>7.013612565</v>
      </c>
      <c r="H707" s="20">
        <f t="shared" si="705"/>
        <v>6.37452007</v>
      </c>
      <c r="I707" s="20">
        <f t="shared" si="705"/>
        <v>3.706457243</v>
      </c>
    </row>
    <row r="708" ht="15.75" customHeight="1">
      <c r="A708" s="10">
        <f>Dados!A710</f>
        <v>44853.66667</v>
      </c>
      <c r="B708" s="19">
        <f>Dados!B710</f>
        <v>55.96</v>
      </c>
      <c r="C708" s="19">
        <f>Dados!D710</f>
        <v>236.48</v>
      </c>
      <c r="D708" s="19">
        <f>Dados!F710</f>
        <v>222.04</v>
      </c>
      <c r="E708" s="19">
        <f>Dados!H710</f>
        <v>143.86</v>
      </c>
      <c r="F708" s="20">
        <f t="shared" ref="F708:I708" si="706">STANDARDIZE(B708,$L$7,$L$8)</f>
        <v>0.6422338569</v>
      </c>
      <c r="G708" s="20">
        <f t="shared" si="706"/>
        <v>6.943106457</v>
      </c>
      <c r="H708" s="20">
        <f t="shared" si="706"/>
        <v>6.439092496</v>
      </c>
      <c r="I708" s="20">
        <f t="shared" si="706"/>
        <v>3.710296684</v>
      </c>
    </row>
    <row r="709" ht="15.75" customHeight="1">
      <c r="A709" s="10">
        <f>Dados!A711</f>
        <v>44854.66667</v>
      </c>
      <c r="B709" s="19">
        <f>Dados!B711</f>
        <v>55.08</v>
      </c>
      <c r="C709" s="19">
        <f>Dados!D711</f>
        <v>236.15</v>
      </c>
      <c r="D709" s="19">
        <f>Dados!F711</f>
        <v>207.28</v>
      </c>
      <c r="E709" s="19">
        <f>Dados!H711</f>
        <v>143.39</v>
      </c>
      <c r="F709" s="20">
        <f t="shared" ref="F709:I709" si="707">STANDARDIZE(B709,$L$7,$L$8)</f>
        <v>0.6115183246</v>
      </c>
      <c r="G709" s="20">
        <f t="shared" si="707"/>
        <v>6.931588133</v>
      </c>
      <c r="H709" s="20">
        <f t="shared" si="707"/>
        <v>5.92390925</v>
      </c>
      <c r="I709" s="20">
        <f t="shared" si="707"/>
        <v>3.693891798</v>
      </c>
    </row>
    <row r="710" ht="15.75" customHeight="1">
      <c r="A710" s="10">
        <f>Dados!A712</f>
        <v>44855.66667</v>
      </c>
      <c r="B710" s="19">
        <f>Dados!B712</f>
        <v>55.96</v>
      </c>
      <c r="C710" s="19">
        <f>Dados!D712</f>
        <v>242.12</v>
      </c>
      <c r="D710" s="19">
        <f>Dados!F712</f>
        <v>214.44</v>
      </c>
      <c r="E710" s="19">
        <f>Dados!H712</f>
        <v>147.27</v>
      </c>
      <c r="F710" s="20">
        <f t="shared" ref="F710:I710" si="708">STANDARDIZE(B710,$L$7,$L$8)</f>
        <v>0.6422338569</v>
      </c>
      <c r="G710" s="20">
        <f t="shared" si="708"/>
        <v>7.139965096</v>
      </c>
      <c r="H710" s="20">
        <f t="shared" si="708"/>
        <v>6.17382199</v>
      </c>
      <c r="I710" s="20">
        <f t="shared" si="708"/>
        <v>3.829319372</v>
      </c>
    </row>
    <row r="711" ht="15.75" customHeight="1">
      <c r="A711" s="10">
        <f>Dados!A713</f>
        <v>44858.66667</v>
      </c>
      <c r="B711" s="19">
        <f>Dados!B713</f>
        <v>57.57</v>
      </c>
      <c r="C711" s="19">
        <f>Dados!D713</f>
        <v>247.25</v>
      </c>
      <c r="D711" s="19">
        <f>Dados!F713</f>
        <v>211.25</v>
      </c>
      <c r="E711" s="19">
        <f>Dados!H713</f>
        <v>149.45</v>
      </c>
      <c r="F711" s="20">
        <f t="shared" ref="F711:I711" si="709">STANDARDIZE(B711,$L$7,$L$8)</f>
        <v>0.6984293194</v>
      </c>
      <c r="G711" s="20">
        <f t="shared" si="709"/>
        <v>7.319022688</v>
      </c>
      <c r="H711" s="20">
        <f t="shared" si="709"/>
        <v>6.062478185</v>
      </c>
      <c r="I711" s="20">
        <f t="shared" si="709"/>
        <v>3.905410122</v>
      </c>
    </row>
    <row r="712" ht="15.75" customHeight="1">
      <c r="A712" s="10">
        <f>Dados!A714</f>
        <v>44859.66667</v>
      </c>
      <c r="B712" s="19">
        <f>Dados!B714</f>
        <v>58.95</v>
      </c>
      <c r="C712" s="19">
        <f>Dados!D714</f>
        <v>250.66</v>
      </c>
      <c r="D712" s="19">
        <f>Dados!F714</f>
        <v>222.42</v>
      </c>
      <c r="E712" s="19">
        <f>Dados!H714</f>
        <v>152.34</v>
      </c>
      <c r="F712" s="20">
        <f t="shared" ref="F712:I712" si="710">STANDARDIZE(B712,$L$7,$L$8)</f>
        <v>0.7465968586</v>
      </c>
      <c r="G712" s="20">
        <f t="shared" si="710"/>
        <v>7.438045375</v>
      </c>
      <c r="H712" s="20">
        <f t="shared" si="710"/>
        <v>6.452356021</v>
      </c>
      <c r="I712" s="20">
        <f t="shared" si="710"/>
        <v>4.006282723</v>
      </c>
    </row>
    <row r="713" ht="15.75" customHeight="1">
      <c r="A713" s="10">
        <f>Dados!A715</f>
        <v>44860.66667</v>
      </c>
      <c r="B713" s="19">
        <f>Dados!B715</f>
        <v>59.39</v>
      </c>
      <c r="C713" s="19">
        <f>Dados!D715</f>
        <v>231.32</v>
      </c>
      <c r="D713" s="19">
        <f>Dados!F715</f>
        <v>224.64</v>
      </c>
      <c r="E713" s="19">
        <f>Dados!H715</f>
        <v>149.35</v>
      </c>
      <c r="F713" s="20">
        <f t="shared" ref="F713:I713" si="711">STANDARDIZE(B713,$L$7,$L$8)</f>
        <v>0.7619546248</v>
      </c>
      <c r="G713" s="20">
        <f t="shared" si="711"/>
        <v>6.763001745</v>
      </c>
      <c r="H713" s="20">
        <f t="shared" si="711"/>
        <v>6.529842932</v>
      </c>
      <c r="I713" s="20">
        <f t="shared" si="711"/>
        <v>3.901919721</v>
      </c>
    </row>
    <row r="714" ht="15.75" customHeight="1">
      <c r="A714" s="10">
        <f>Dados!A716</f>
        <v>44861.66667</v>
      </c>
      <c r="B714" s="19">
        <f>Dados!B716</f>
        <v>59.53</v>
      </c>
      <c r="C714" s="19">
        <f>Dados!D716</f>
        <v>226.75</v>
      </c>
      <c r="D714" s="19">
        <f>Dados!F716</f>
        <v>225.09</v>
      </c>
      <c r="E714" s="19">
        <f>Dados!H716</f>
        <v>144.8</v>
      </c>
      <c r="F714" s="20">
        <f t="shared" ref="F714:I714" si="712">STANDARDIZE(B714,$L$7,$L$8)</f>
        <v>0.7668411867</v>
      </c>
      <c r="G714" s="20">
        <f t="shared" si="712"/>
        <v>6.603490401</v>
      </c>
      <c r="H714" s="20">
        <f t="shared" si="712"/>
        <v>6.545549738</v>
      </c>
      <c r="I714" s="20">
        <f t="shared" si="712"/>
        <v>3.743106457</v>
      </c>
    </row>
    <row r="715" ht="15.75" customHeight="1">
      <c r="A715" s="10">
        <f>Dados!A717</f>
        <v>44862.66667</v>
      </c>
      <c r="B715" s="19">
        <f>Dados!B717</f>
        <v>60.76</v>
      </c>
      <c r="C715" s="19">
        <f>Dados!D717</f>
        <v>235.87</v>
      </c>
      <c r="D715" s="19">
        <f>Dados!F717</f>
        <v>228.52</v>
      </c>
      <c r="E715" s="19">
        <f>Dados!H717</f>
        <v>155.74</v>
      </c>
      <c r="F715" s="20">
        <f t="shared" ref="F715:I715" si="713">STANDARDIZE(B715,$L$7,$L$8)</f>
        <v>0.8097731239</v>
      </c>
      <c r="G715" s="20">
        <f t="shared" si="713"/>
        <v>6.921815009</v>
      </c>
      <c r="H715" s="20">
        <f t="shared" si="713"/>
        <v>6.665270506</v>
      </c>
      <c r="I715" s="20">
        <f t="shared" si="713"/>
        <v>4.12495637</v>
      </c>
    </row>
    <row r="716" ht="15.75" customHeight="1">
      <c r="A716" s="10">
        <f>Dados!A718</f>
        <v>44865.66667</v>
      </c>
      <c r="B716" s="19">
        <f>Dados!B718</f>
        <v>59.85</v>
      </c>
      <c r="C716" s="19">
        <f>Dados!D718</f>
        <v>232.13</v>
      </c>
      <c r="D716" s="19">
        <f>Dados!F718</f>
        <v>227.54</v>
      </c>
      <c r="E716" s="19">
        <f>Dados!H718</f>
        <v>153.34</v>
      </c>
      <c r="F716" s="20">
        <f t="shared" ref="F716:I716" si="714">STANDARDIZE(B716,$L$7,$L$8)</f>
        <v>0.7780104712</v>
      </c>
      <c r="G716" s="20">
        <f t="shared" si="714"/>
        <v>6.791273997</v>
      </c>
      <c r="H716" s="20">
        <f t="shared" si="714"/>
        <v>6.631064572</v>
      </c>
      <c r="I716" s="20">
        <f t="shared" si="714"/>
        <v>4.041186736</v>
      </c>
    </row>
    <row r="717" ht="15.75" customHeight="1">
      <c r="A717" s="10">
        <f>Dados!A719</f>
        <v>44866.66667</v>
      </c>
      <c r="B717" s="19">
        <f>Dados!B719</f>
        <v>59.64</v>
      </c>
      <c r="C717" s="19">
        <f>Dados!D719</f>
        <v>228.17</v>
      </c>
      <c r="D717" s="19">
        <f>Dados!F719</f>
        <v>227.82</v>
      </c>
      <c r="E717" s="19">
        <f>Dados!H719</f>
        <v>150.65</v>
      </c>
      <c r="F717" s="20">
        <f t="shared" ref="F717:I717" si="715">STANDARDIZE(B717,$L$7,$L$8)</f>
        <v>0.7706806283</v>
      </c>
      <c r="G717" s="20">
        <f t="shared" si="715"/>
        <v>6.653054101</v>
      </c>
      <c r="H717" s="20">
        <f t="shared" si="715"/>
        <v>6.640837696</v>
      </c>
      <c r="I717" s="20">
        <f t="shared" si="715"/>
        <v>3.947294939</v>
      </c>
    </row>
    <row r="718" ht="15.75" customHeight="1">
      <c r="A718" s="10">
        <f>Dados!A720</f>
        <v>44867.66667</v>
      </c>
      <c r="B718" s="19">
        <f>Dados!B720</f>
        <v>58.81</v>
      </c>
      <c r="C718" s="19">
        <f>Dados!D720</f>
        <v>220.1</v>
      </c>
      <c r="D718" s="19">
        <f>Dados!F720</f>
        <v>214.98</v>
      </c>
      <c r="E718" s="19">
        <f>Dados!H720</f>
        <v>145.03</v>
      </c>
      <c r="F718" s="20">
        <f t="shared" ref="F718:I718" si="716">STANDARDIZE(B718,$L$7,$L$8)</f>
        <v>0.7417102967</v>
      </c>
      <c r="G718" s="20">
        <f t="shared" si="716"/>
        <v>6.371378709</v>
      </c>
      <c r="H718" s="20">
        <f t="shared" si="716"/>
        <v>6.192670157</v>
      </c>
      <c r="I718" s="20">
        <f t="shared" si="716"/>
        <v>3.75113438</v>
      </c>
    </row>
    <row r="719" ht="15.75" customHeight="1">
      <c r="A719" s="10">
        <f>Dados!A721</f>
        <v>44868.66667</v>
      </c>
      <c r="B719" s="19">
        <f>Dados!B721</f>
        <v>58.78</v>
      </c>
      <c r="C719" s="19">
        <f>Dados!D721</f>
        <v>214.25</v>
      </c>
      <c r="D719" s="19">
        <f>Dados!F721</f>
        <v>215.31</v>
      </c>
      <c r="E719" s="19">
        <f>Dados!H721</f>
        <v>138.88</v>
      </c>
      <c r="F719" s="20">
        <f t="shared" ref="F719:I719" si="717">STANDARDIZE(B719,$L$7,$L$8)</f>
        <v>0.7406631763</v>
      </c>
      <c r="G719" s="20">
        <f t="shared" si="717"/>
        <v>6.167190227</v>
      </c>
      <c r="H719" s="20">
        <f t="shared" si="717"/>
        <v>6.204188482</v>
      </c>
      <c r="I719" s="20">
        <f t="shared" si="717"/>
        <v>3.536474695</v>
      </c>
    </row>
    <row r="720" ht="15.75" customHeight="1">
      <c r="A720" s="10">
        <f>Dados!A722</f>
        <v>44869.66667</v>
      </c>
      <c r="B720" s="19">
        <f>Dados!B722</f>
        <v>59.26</v>
      </c>
      <c r="C720" s="19">
        <f>Dados!D722</f>
        <v>221.39</v>
      </c>
      <c r="D720" s="19">
        <f>Dados!F722</f>
        <v>207.47</v>
      </c>
      <c r="E720" s="19">
        <f>Dados!H722</f>
        <v>138.38</v>
      </c>
      <c r="F720" s="20">
        <f t="shared" ref="F720:I720" si="718">STANDARDIZE(B720,$L$7,$L$8)</f>
        <v>0.757417103</v>
      </c>
      <c r="G720" s="20">
        <f t="shared" si="718"/>
        <v>6.416404887</v>
      </c>
      <c r="H720" s="20">
        <f t="shared" si="718"/>
        <v>5.930541012</v>
      </c>
      <c r="I720" s="20">
        <f t="shared" si="718"/>
        <v>3.519022688</v>
      </c>
    </row>
    <row r="721" ht="15.75" customHeight="1">
      <c r="A721" s="10">
        <f>Dados!A723</f>
        <v>44872.66667</v>
      </c>
      <c r="B721" s="19">
        <f>Dados!B723</f>
        <v>59.49</v>
      </c>
      <c r="C721" s="19">
        <f>Dados!D723</f>
        <v>227.87</v>
      </c>
      <c r="D721" s="19">
        <f>Dados!F723</f>
        <v>197.08</v>
      </c>
      <c r="E721" s="19">
        <f>Dados!H723</f>
        <v>138.92</v>
      </c>
      <c r="F721" s="20">
        <f t="shared" ref="F721:I721" si="719">STANDARDIZE(B721,$L$7,$L$8)</f>
        <v>0.7654450262</v>
      </c>
      <c r="G721" s="20">
        <f t="shared" si="719"/>
        <v>6.642582897</v>
      </c>
      <c r="H721" s="20">
        <f t="shared" si="719"/>
        <v>5.567888307</v>
      </c>
      <c r="I721" s="20">
        <f t="shared" si="719"/>
        <v>3.537870855</v>
      </c>
    </row>
    <row r="722" ht="15.75" customHeight="1">
      <c r="A722" s="10">
        <f>Dados!A724</f>
        <v>44873.66667</v>
      </c>
      <c r="B722" s="19">
        <f>Dados!B724</f>
        <v>59.6</v>
      </c>
      <c r="C722" s="19">
        <f>Dados!D724</f>
        <v>228.87</v>
      </c>
      <c r="D722" s="19">
        <f>Dados!F724</f>
        <v>191.3</v>
      </c>
      <c r="E722" s="19">
        <f>Dados!H724</f>
        <v>139.5</v>
      </c>
      <c r="F722" s="20">
        <f t="shared" ref="F722:I722" si="720">STANDARDIZE(B722,$L$7,$L$8)</f>
        <v>0.7692844677</v>
      </c>
      <c r="G722" s="20">
        <f t="shared" si="720"/>
        <v>6.677486911</v>
      </c>
      <c r="H722" s="20">
        <f t="shared" si="720"/>
        <v>5.366143106</v>
      </c>
      <c r="I722" s="20">
        <f t="shared" si="720"/>
        <v>3.558115183</v>
      </c>
    </row>
    <row r="723" ht="15.75" customHeight="1">
      <c r="A723" s="10">
        <f>Dados!A725</f>
        <v>44874.66667</v>
      </c>
      <c r="B723" s="19">
        <f>Dados!B725</f>
        <v>58.77</v>
      </c>
      <c r="C723" s="19">
        <f>Dados!D725</f>
        <v>224.51</v>
      </c>
      <c r="D723" s="19">
        <f>Dados!F725</f>
        <v>177.59</v>
      </c>
      <c r="E723" s="19">
        <f>Dados!H725</f>
        <v>134.87</v>
      </c>
      <c r="F723" s="20">
        <f t="shared" ref="F723:I723" si="721">STANDARDIZE(B723,$L$7,$L$8)</f>
        <v>0.7403141361</v>
      </c>
      <c r="G723" s="20">
        <f t="shared" si="721"/>
        <v>6.52530541</v>
      </c>
      <c r="H723" s="20">
        <f t="shared" si="721"/>
        <v>4.887609075</v>
      </c>
      <c r="I723" s="20">
        <f t="shared" si="721"/>
        <v>3.396509599</v>
      </c>
    </row>
    <row r="724" ht="15.75" customHeight="1">
      <c r="A724" s="10">
        <f>Dados!A726</f>
        <v>44875.66667</v>
      </c>
      <c r="B724" s="19">
        <f>Dados!B726</f>
        <v>60.88</v>
      </c>
      <c r="C724" s="19">
        <f>Dados!D726</f>
        <v>242.98</v>
      </c>
      <c r="D724" s="19">
        <f>Dados!F726</f>
        <v>190.72</v>
      </c>
      <c r="E724" s="19">
        <f>Dados!H726</f>
        <v>146.87</v>
      </c>
      <c r="F724" s="20">
        <f t="shared" ref="F724:I724" si="722">STANDARDIZE(B724,$L$7,$L$8)</f>
        <v>0.8139616056</v>
      </c>
      <c r="G724" s="20">
        <f t="shared" si="722"/>
        <v>7.169982548</v>
      </c>
      <c r="H724" s="20">
        <f t="shared" si="722"/>
        <v>5.345898778</v>
      </c>
      <c r="I724" s="20">
        <f t="shared" si="722"/>
        <v>3.815357766</v>
      </c>
    </row>
    <row r="725" ht="15.75" customHeight="1">
      <c r="A725" s="10">
        <f>Dados!A727</f>
        <v>44876.66667</v>
      </c>
      <c r="B725" s="19">
        <f>Dados!B727</f>
        <v>61.32</v>
      </c>
      <c r="C725" s="19">
        <f>Dados!D727</f>
        <v>247.11</v>
      </c>
      <c r="D725" s="19">
        <f>Dados!F727</f>
        <v>195.97</v>
      </c>
      <c r="E725" s="19">
        <f>Dados!H727</f>
        <v>149.7</v>
      </c>
      <c r="F725" s="20">
        <f t="shared" ref="F725:I725" si="723">STANDARDIZE(B725,$L$7,$L$8)</f>
        <v>0.8293193717</v>
      </c>
      <c r="G725" s="20">
        <f t="shared" si="723"/>
        <v>7.314136126</v>
      </c>
      <c r="H725" s="20">
        <f t="shared" si="723"/>
        <v>5.529144852</v>
      </c>
      <c r="I725" s="20">
        <f t="shared" si="723"/>
        <v>3.914136126</v>
      </c>
    </row>
    <row r="726" ht="15.75" customHeight="1">
      <c r="A726" s="10">
        <f>Dados!A728</f>
        <v>44879.66667</v>
      </c>
      <c r="B726" s="19">
        <f>Dados!B728</f>
        <v>60.73</v>
      </c>
      <c r="C726" s="19">
        <f>Dados!D728</f>
        <v>241.55</v>
      </c>
      <c r="D726" s="19">
        <f>Dados!F728</f>
        <v>190.95</v>
      </c>
      <c r="E726" s="19">
        <f>Dados!H728</f>
        <v>148.28</v>
      </c>
      <c r="F726" s="20">
        <f t="shared" ref="F726:I726" si="724">STANDARDIZE(B726,$L$7,$L$8)</f>
        <v>0.8087260035</v>
      </c>
      <c r="G726" s="20">
        <f t="shared" si="724"/>
        <v>7.120069808</v>
      </c>
      <c r="H726" s="20">
        <f t="shared" si="724"/>
        <v>5.353926702</v>
      </c>
      <c r="I726" s="20">
        <f t="shared" si="724"/>
        <v>3.864572426</v>
      </c>
    </row>
    <row r="727" ht="15.75" customHeight="1">
      <c r="A727" s="10">
        <f>Dados!A729</f>
        <v>44880.66667</v>
      </c>
      <c r="B727" s="19">
        <f>Dados!B729</f>
        <v>60.63</v>
      </c>
      <c r="C727" s="19">
        <f>Dados!D729</f>
        <v>241.97</v>
      </c>
      <c r="D727" s="19">
        <f>Dados!F729</f>
        <v>194.42</v>
      </c>
      <c r="E727" s="19">
        <f>Dados!H729</f>
        <v>150.04</v>
      </c>
      <c r="F727" s="20">
        <f t="shared" ref="F727:I727" si="725">STANDARDIZE(B727,$L$7,$L$8)</f>
        <v>0.8052356021</v>
      </c>
      <c r="G727" s="20">
        <f t="shared" si="725"/>
        <v>7.134729494</v>
      </c>
      <c r="H727" s="20">
        <f t="shared" si="725"/>
        <v>5.47504363</v>
      </c>
      <c r="I727" s="20">
        <f t="shared" si="725"/>
        <v>3.92600349</v>
      </c>
    </row>
    <row r="728" ht="15.75" customHeight="1">
      <c r="A728" s="10">
        <f>Dados!A730</f>
        <v>44881.66667</v>
      </c>
      <c r="B728" s="19">
        <f>Dados!B730</f>
        <v>60.52</v>
      </c>
      <c r="C728" s="19">
        <f>Dados!D730</f>
        <v>241.73</v>
      </c>
      <c r="D728" s="19">
        <f>Dados!F730</f>
        <v>186.92</v>
      </c>
      <c r="E728" s="19">
        <f>Dados!H730</f>
        <v>148.79</v>
      </c>
      <c r="F728" s="20">
        <f t="shared" ref="F728:I728" si="726">STANDARDIZE(B728,$L$7,$L$8)</f>
        <v>0.8013961606</v>
      </c>
      <c r="G728" s="20">
        <f t="shared" si="726"/>
        <v>7.126352531</v>
      </c>
      <c r="H728" s="20">
        <f t="shared" si="726"/>
        <v>5.213263525</v>
      </c>
      <c r="I728" s="20">
        <f t="shared" si="726"/>
        <v>3.882373473</v>
      </c>
    </row>
    <row r="729" ht="15.75" customHeight="1">
      <c r="A729" s="10">
        <f>Dados!A731</f>
        <v>44882.66667</v>
      </c>
      <c r="B729" s="19">
        <f>Dados!B731</f>
        <v>60.71</v>
      </c>
      <c r="C729" s="19">
        <f>Dados!D731</f>
        <v>241.68</v>
      </c>
      <c r="D729" s="19">
        <f>Dados!F731</f>
        <v>183.17</v>
      </c>
      <c r="E729" s="19">
        <f>Dados!H731</f>
        <v>150.72</v>
      </c>
      <c r="F729" s="20">
        <f t="shared" ref="F729:I729" si="727">STANDARDIZE(B729,$L$7,$L$8)</f>
        <v>0.8080279232</v>
      </c>
      <c r="G729" s="20">
        <f t="shared" si="727"/>
        <v>7.12460733</v>
      </c>
      <c r="H729" s="20">
        <f t="shared" si="727"/>
        <v>5.082373473</v>
      </c>
      <c r="I729" s="20">
        <f t="shared" si="727"/>
        <v>3.94973822</v>
      </c>
    </row>
    <row r="730" ht="15.75" customHeight="1">
      <c r="A730" s="10">
        <f>Dados!A732</f>
        <v>44883.66667</v>
      </c>
      <c r="B730" s="19">
        <f>Dados!B732</f>
        <v>61.14</v>
      </c>
      <c r="C730" s="19">
        <f>Dados!D732</f>
        <v>241.22</v>
      </c>
      <c r="D730" s="19">
        <f>Dados!F732</f>
        <v>180.19</v>
      </c>
      <c r="E730" s="19">
        <f>Dados!H732</f>
        <v>151.29</v>
      </c>
      <c r="F730" s="20">
        <f t="shared" ref="F730:I730" si="728">STANDARDIZE(B730,$L$7,$L$8)</f>
        <v>0.8230366492</v>
      </c>
      <c r="G730" s="20">
        <f t="shared" si="728"/>
        <v>7.108551483</v>
      </c>
      <c r="H730" s="20">
        <f t="shared" si="728"/>
        <v>4.978359511</v>
      </c>
      <c r="I730" s="20">
        <f t="shared" si="728"/>
        <v>3.969633508</v>
      </c>
    </row>
    <row r="731" ht="15.75" customHeight="1">
      <c r="A731" s="10">
        <f>Dados!A733</f>
        <v>44886.66667</v>
      </c>
      <c r="B731" s="19">
        <f>Dados!B733</f>
        <v>62.08</v>
      </c>
      <c r="C731" s="19">
        <f>Dados!D733</f>
        <v>242.05</v>
      </c>
      <c r="D731" s="19">
        <f>Dados!F733</f>
        <v>167.87</v>
      </c>
      <c r="E731" s="19">
        <f>Dados!H733</f>
        <v>148.01</v>
      </c>
      <c r="F731" s="20">
        <f t="shared" ref="F731:I731" si="729">STANDARDIZE(B731,$L$7,$L$8)</f>
        <v>0.8558464223</v>
      </c>
      <c r="G731" s="20">
        <f t="shared" si="729"/>
        <v>7.137521815</v>
      </c>
      <c r="H731" s="20">
        <f t="shared" si="729"/>
        <v>4.548342059</v>
      </c>
      <c r="I731" s="20">
        <f t="shared" si="729"/>
        <v>3.855148342</v>
      </c>
    </row>
    <row r="732" ht="15.75" customHeight="1">
      <c r="A732" s="10">
        <f>Dados!A734</f>
        <v>44887.66667</v>
      </c>
      <c r="B732" s="19">
        <f>Dados!B734</f>
        <v>62.35</v>
      </c>
      <c r="C732" s="19">
        <f>Dados!D734</f>
        <v>245.03</v>
      </c>
      <c r="D732" s="19">
        <f>Dados!F734</f>
        <v>169.91</v>
      </c>
      <c r="E732" s="19">
        <f>Dados!H734</f>
        <v>150.18</v>
      </c>
      <c r="F732" s="20">
        <f t="shared" ref="F732:I732" si="730">STANDARDIZE(B732,$L$7,$L$8)</f>
        <v>0.8652705061</v>
      </c>
      <c r="G732" s="20">
        <f t="shared" si="730"/>
        <v>7.241535777</v>
      </c>
      <c r="H732" s="20">
        <f t="shared" si="730"/>
        <v>4.619546248</v>
      </c>
      <c r="I732" s="20">
        <f t="shared" si="730"/>
        <v>3.930890052</v>
      </c>
    </row>
    <row r="733" ht="15.75" customHeight="1">
      <c r="A733" s="10">
        <f>Dados!A735</f>
        <v>44888.66667</v>
      </c>
      <c r="B733" s="19">
        <f>Dados!B735</f>
        <v>62.63</v>
      </c>
      <c r="C733" s="19">
        <f>Dados!D735</f>
        <v>247.58</v>
      </c>
      <c r="D733" s="19">
        <f>Dados!F735</f>
        <v>183.2</v>
      </c>
      <c r="E733" s="19">
        <f>Dados!H735</f>
        <v>151.07</v>
      </c>
      <c r="F733" s="20">
        <f t="shared" ref="F733:I733" si="731">STANDARDIZE(B733,$L$7,$L$8)</f>
        <v>0.87504363</v>
      </c>
      <c r="G733" s="20">
        <f t="shared" si="731"/>
        <v>7.330541012</v>
      </c>
      <c r="H733" s="20">
        <f t="shared" si="731"/>
        <v>5.083420593</v>
      </c>
      <c r="I733" s="20">
        <f t="shared" si="731"/>
        <v>3.961954625</v>
      </c>
    </row>
    <row r="734" ht="15.75" customHeight="1">
      <c r="A734" s="10">
        <f>Dados!A736</f>
        <v>44890.54167</v>
      </c>
      <c r="B734" s="19">
        <f>Dados!B736</f>
        <v>62.69</v>
      </c>
      <c r="C734" s="19">
        <f>Dados!D736</f>
        <v>247.49</v>
      </c>
      <c r="D734" s="19">
        <f>Dados!F736</f>
        <v>182.86</v>
      </c>
      <c r="E734" s="19">
        <f>Dados!H736</f>
        <v>148.11</v>
      </c>
      <c r="F734" s="20">
        <f t="shared" ref="F734:I734" si="732">STANDARDIZE(B734,$L$7,$L$8)</f>
        <v>0.8771378709</v>
      </c>
      <c r="G734" s="20">
        <f t="shared" si="732"/>
        <v>7.327399651</v>
      </c>
      <c r="H734" s="20">
        <f t="shared" si="732"/>
        <v>5.071553229</v>
      </c>
      <c r="I734" s="20">
        <f t="shared" si="732"/>
        <v>3.858638743</v>
      </c>
    </row>
    <row r="735" ht="15.75" customHeight="1">
      <c r="A735" s="10">
        <f>Dados!A737</f>
        <v>44893.66667</v>
      </c>
      <c r="B735" s="19">
        <f>Dados!B737</f>
        <v>62.7</v>
      </c>
      <c r="C735" s="19">
        <f>Dados!D737</f>
        <v>241.76</v>
      </c>
      <c r="D735" s="19">
        <f>Dados!F737</f>
        <v>182.92</v>
      </c>
      <c r="E735" s="19">
        <f>Dados!H737</f>
        <v>144.22</v>
      </c>
      <c r="F735" s="20">
        <f t="shared" ref="F735:I735" si="733">STANDARDIZE(B735,$L$7,$L$8)</f>
        <v>0.877486911</v>
      </c>
      <c r="G735" s="20">
        <f t="shared" si="733"/>
        <v>7.127399651</v>
      </c>
      <c r="H735" s="20">
        <f t="shared" si="733"/>
        <v>5.073647469</v>
      </c>
      <c r="I735" s="20">
        <f t="shared" si="733"/>
        <v>3.722862129</v>
      </c>
    </row>
    <row r="736" ht="15.75" customHeight="1">
      <c r="A736" s="10">
        <f>Dados!A738</f>
        <v>44894.66667</v>
      </c>
      <c r="B736" s="19">
        <f>Dados!B738</f>
        <v>62.48</v>
      </c>
      <c r="C736" s="19">
        <f>Dados!D738</f>
        <v>240.33</v>
      </c>
      <c r="D736" s="19">
        <f>Dados!F738</f>
        <v>180.83</v>
      </c>
      <c r="E736" s="19">
        <f>Dados!H738</f>
        <v>141.17</v>
      </c>
      <c r="F736" s="20">
        <f t="shared" ref="F736:I736" si="734">STANDARDIZE(B736,$L$7,$L$8)</f>
        <v>0.8698080279</v>
      </c>
      <c r="G736" s="20">
        <f t="shared" si="734"/>
        <v>7.077486911</v>
      </c>
      <c r="H736" s="20">
        <f t="shared" si="734"/>
        <v>5.00069808</v>
      </c>
      <c r="I736" s="20">
        <f t="shared" si="734"/>
        <v>3.616404887</v>
      </c>
    </row>
    <row r="737" ht="15.75" customHeight="1">
      <c r="A737" s="10">
        <f>Dados!A739</f>
        <v>44895.66667</v>
      </c>
      <c r="B737" s="19">
        <f>Dados!B739</f>
        <v>63.61</v>
      </c>
      <c r="C737" s="19">
        <f>Dados!D739</f>
        <v>255.14</v>
      </c>
      <c r="D737" s="19">
        <f>Dados!F739</f>
        <v>194.7</v>
      </c>
      <c r="E737" s="19">
        <f>Dados!H739</f>
        <v>148.03</v>
      </c>
      <c r="F737" s="20">
        <f t="shared" ref="F737:I737" si="735">STANDARDIZE(B737,$L$7,$L$8)</f>
        <v>0.9092495637</v>
      </c>
      <c r="G737" s="20">
        <f t="shared" si="735"/>
        <v>7.594415358</v>
      </c>
      <c r="H737" s="20">
        <f t="shared" si="735"/>
        <v>5.484816754</v>
      </c>
      <c r="I737" s="20">
        <f t="shared" si="735"/>
        <v>3.855846422</v>
      </c>
    </row>
    <row r="738" ht="15.75" customHeight="1">
      <c r="A738" s="10">
        <f>Dados!A740</f>
        <v>44896.66667</v>
      </c>
      <c r="B738" s="19">
        <f>Dados!B740</f>
        <v>63.79</v>
      </c>
      <c r="C738" s="19">
        <f>Dados!D740</f>
        <v>254.69</v>
      </c>
      <c r="D738" s="19">
        <f>Dados!F740</f>
        <v>194.7</v>
      </c>
      <c r="E738" s="19">
        <f>Dados!H740</f>
        <v>148.31</v>
      </c>
      <c r="F738" s="20">
        <f t="shared" ref="F738:I738" si="736">STANDARDIZE(B738,$L$7,$L$8)</f>
        <v>0.9155322862</v>
      </c>
      <c r="G738" s="20">
        <f t="shared" si="736"/>
        <v>7.578708551</v>
      </c>
      <c r="H738" s="20">
        <f t="shared" si="736"/>
        <v>5.484816754</v>
      </c>
      <c r="I738" s="20">
        <f t="shared" si="736"/>
        <v>3.865619546</v>
      </c>
    </row>
    <row r="739" ht="15.75" customHeight="1">
      <c r="A739" s="10">
        <f>Dados!A741</f>
        <v>44897.66667</v>
      </c>
      <c r="B739" s="19">
        <f>Dados!B741</f>
        <v>64.35</v>
      </c>
      <c r="C739" s="19">
        <f>Dados!D741</f>
        <v>255.02</v>
      </c>
      <c r="D739" s="19">
        <f>Dados!F741</f>
        <v>194.86</v>
      </c>
      <c r="E739" s="19">
        <f>Dados!H741</f>
        <v>147.81</v>
      </c>
      <c r="F739" s="20">
        <f t="shared" ref="F739:I739" si="737">STANDARDIZE(B739,$L$7,$L$8)</f>
        <v>0.935078534</v>
      </c>
      <c r="G739" s="20">
        <f t="shared" si="737"/>
        <v>7.590226876</v>
      </c>
      <c r="H739" s="20">
        <f t="shared" si="737"/>
        <v>5.490401396</v>
      </c>
      <c r="I739" s="20">
        <f t="shared" si="737"/>
        <v>3.848167539</v>
      </c>
    </row>
    <row r="740" ht="15.75" customHeight="1">
      <c r="A740" s="10">
        <f>Dados!A742</f>
        <v>44900.66667</v>
      </c>
      <c r="B740" s="19">
        <f>Dados!B742</f>
        <v>63.47</v>
      </c>
      <c r="C740" s="19">
        <f>Dados!D742</f>
        <v>250.2</v>
      </c>
      <c r="D740" s="19">
        <f>Dados!F742</f>
        <v>182.45</v>
      </c>
      <c r="E740" s="19">
        <f>Dados!H742</f>
        <v>146.63</v>
      </c>
      <c r="F740" s="20">
        <f t="shared" ref="F740:I740" si="738">STANDARDIZE(B740,$L$7,$L$8)</f>
        <v>0.9043630017</v>
      </c>
      <c r="G740" s="20">
        <f t="shared" si="738"/>
        <v>7.421989529</v>
      </c>
      <c r="H740" s="20">
        <f t="shared" si="738"/>
        <v>5.057242583</v>
      </c>
      <c r="I740" s="20">
        <f t="shared" si="738"/>
        <v>3.806980803</v>
      </c>
    </row>
    <row r="741" ht="15.75" customHeight="1">
      <c r="A741" s="10">
        <f>Dados!A743</f>
        <v>44901.66667</v>
      </c>
      <c r="B741" s="19">
        <f>Dados!B743</f>
        <v>63.44</v>
      </c>
      <c r="C741" s="19">
        <f>Dados!D743</f>
        <v>245.12</v>
      </c>
      <c r="D741" s="19">
        <f>Dados!F743</f>
        <v>179.82</v>
      </c>
      <c r="E741" s="19">
        <f>Dados!H743</f>
        <v>142.91</v>
      </c>
      <c r="F741" s="20">
        <f t="shared" ref="F741:I741" si="739">STANDARDIZE(B741,$L$7,$L$8)</f>
        <v>0.9033158813</v>
      </c>
      <c r="G741" s="20">
        <f t="shared" si="739"/>
        <v>7.244677138</v>
      </c>
      <c r="H741" s="20">
        <f t="shared" si="739"/>
        <v>4.965445026</v>
      </c>
      <c r="I741" s="20">
        <f t="shared" si="739"/>
        <v>3.677137871</v>
      </c>
    </row>
    <row r="742" ht="15.75" customHeight="1">
      <c r="A742" s="10">
        <f>Dados!A744</f>
        <v>44902.66667</v>
      </c>
      <c r="B742" s="19">
        <f>Dados!B744</f>
        <v>63.54</v>
      </c>
      <c r="C742" s="19">
        <f>Dados!D744</f>
        <v>244.37</v>
      </c>
      <c r="D742" s="19">
        <f>Dados!F744</f>
        <v>174.04</v>
      </c>
      <c r="E742" s="19">
        <f>Dados!H744</f>
        <v>140.94</v>
      </c>
      <c r="F742" s="20">
        <f t="shared" ref="F742:I742" si="740">STANDARDIZE(B742,$L$7,$L$8)</f>
        <v>0.9068062827</v>
      </c>
      <c r="G742" s="20">
        <f t="shared" si="740"/>
        <v>7.218499127</v>
      </c>
      <c r="H742" s="20">
        <f t="shared" si="740"/>
        <v>4.763699825</v>
      </c>
      <c r="I742" s="20">
        <f t="shared" si="740"/>
        <v>3.608376963</v>
      </c>
    </row>
    <row r="743" ht="15.75" customHeight="1">
      <c r="A743" s="10">
        <f>Dados!A745</f>
        <v>44903.66667</v>
      </c>
      <c r="B743" s="19">
        <f>Dados!B745</f>
        <v>63.81</v>
      </c>
      <c r="C743" s="19">
        <f>Dados!D745</f>
        <v>247.4</v>
      </c>
      <c r="D743" s="19">
        <f>Dados!F745</f>
        <v>173.44</v>
      </c>
      <c r="E743" s="19">
        <f>Dados!H745</f>
        <v>142.65</v>
      </c>
      <c r="F743" s="20">
        <f t="shared" ref="F743:I743" si="741">STANDARDIZE(B743,$L$7,$L$8)</f>
        <v>0.9162303665</v>
      </c>
      <c r="G743" s="20">
        <f t="shared" si="741"/>
        <v>7.32425829</v>
      </c>
      <c r="H743" s="20">
        <f t="shared" si="741"/>
        <v>4.742757417</v>
      </c>
      <c r="I743" s="20">
        <f t="shared" si="741"/>
        <v>3.668062827</v>
      </c>
    </row>
    <row r="744" ht="15.75" customHeight="1">
      <c r="A744" s="10">
        <f>Dados!A746</f>
        <v>44904.66667</v>
      </c>
      <c r="B744" s="19">
        <f>Dados!B746</f>
        <v>63.14</v>
      </c>
      <c r="C744" s="19">
        <f>Dados!D746</f>
        <v>245.42</v>
      </c>
      <c r="D744" s="19">
        <f>Dados!F746</f>
        <v>179.05</v>
      </c>
      <c r="E744" s="19">
        <f>Dados!H746</f>
        <v>142.16</v>
      </c>
      <c r="F744" s="20">
        <f t="shared" ref="F744:I744" si="742">STANDARDIZE(B744,$L$7,$L$8)</f>
        <v>0.8928446771</v>
      </c>
      <c r="G744" s="20">
        <f t="shared" si="742"/>
        <v>7.255148342</v>
      </c>
      <c r="H744" s="20">
        <f t="shared" si="742"/>
        <v>4.938568935</v>
      </c>
      <c r="I744" s="20">
        <f t="shared" si="742"/>
        <v>3.65095986</v>
      </c>
    </row>
    <row r="745" ht="15.75" customHeight="1">
      <c r="A745" s="10">
        <f>Dados!A747</f>
        <v>44907.66667</v>
      </c>
      <c r="B745" s="19">
        <f>Dados!B747</f>
        <v>63.97</v>
      </c>
      <c r="C745" s="19">
        <f>Dados!D747</f>
        <v>252.51</v>
      </c>
      <c r="D745" s="19">
        <f>Dados!F747</f>
        <v>167.82</v>
      </c>
      <c r="E745" s="19">
        <f>Dados!H747</f>
        <v>144.49</v>
      </c>
      <c r="F745" s="20">
        <f t="shared" ref="F745:I745" si="743">STANDARDIZE(B745,$L$7,$L$8)</f>
        <v>0.9218150087</v>
      </c>
      <c r="G745" s="20">
        <f t="shared" si="743"/>
        <v>7.502617801</v>
      </c>
      <c r="H745" s="20">
        <f t="shared" si="743"/>
        <v>4.546596859</v>
      </c>
      <c r="I745" s="20">
        <f t="shared" si="743"/>
        <v>3.732286213</v>
      </c>
    </row>
    <row r="746" ht="15.75" customHeight="1">
      <c r="A746" s="10">
        <f>Dados!A748</f>
        <v>44908.66667</v>
      </c>
      <c r="B746" s="19">
        <f>Dados!B748</f>
        <v>63.99</v>
      </c>
      <c r="C746" s="19">
        <f>Dados!D748</f>
        <v>256.92</v>
      </c>
      <c r="D746" s="19">
        <f>Dados!F748</f>
        <v>160.95</v>
      </c>
      <c r="E746" s="19">
        <f>Dados!H748</f>
        <v>145.47</v>
      </c>
      <c r="F746" s="20">
        <f t="shared" ref="F746:I746" si="744">STANDARDIZE(B746,$L$7,$L$8)</f>
        <v>0.922513089</v>
      </c>
      <c r="G746" s="20">
        <f t="shared" si="744"/>
        <v>7.656544503</v>
      </c>
      <c r="H746" s="20">
        <f t="shared" si="744"/>
        <v>4.306806283</v>
      </c>
      <c r="I746" s="20">
        <f t="shared" si="744"/>
        <v>3.766492147</v>
      </c>
    </row>
    <row r="747" ht="15.75" customHeight="1">
      <c r="A747" s="10">
        <f>Dados!A749</f>
        <v>44909.66667</v>
      </c>
      <c r="B747" s="19">
        <f>Dados!B749</f>
        <v>63.99</v>
      </c>
      <c r="C747" s="19">
        <f>Dados!D749</f>
        <v>257.22</v>
      </c>
      <c r="D747" s="19">
        <f>Dados!F749</f>
        <v>156.8</v>
      </c>
      <c r="E747" s="19">
        <f>Dados!H749</f>
        <v>143.21</v>
      </c>
      <c r="F747" s="20">
        <f t="shared" ref="F747:I747" si="745">STANDARDIZE(B747,$L$7,$L$8)</f>
        <v>0.922513089</v>
      </c>
      <c r="G747" s="20">
        <f t="shared" si="745"/>
        <v>7.667015707</v>
      </c>
      <c r="H747" s="20">
        <f t="shared" si="745"/>
        <v>4.161954625</v>
      </c>
      <c r="I747" s="20">
        <f t="shared" si="745"/>
        <v>3.687609075</v>
      </c>
    </row>
    <row r="748" ht="15.75" customHeight="1">
      <c r="A748" s="10">
        <f>Dados!A750</f>
        <v>44910.66667</v>
      </c>
      <c r="B748" s="19">
        <f>Dados!B750</f>
        <v>63.11</v>
      </c>
      <c r="C748" s="19">
        <f>Dados!D750</f>
        <v>249.01</v>
      </c>
      <c r="D748" s="19">
        <f>Dados!F750</f>
        <v>157.67</v>
      </c>
      <c r="E748" s="19">
        <f>Dados!H750</f>
        <v>136.5</v>
      </c>
      <c r="F748" s="20">
        <f t="shared" ref="F748:I748" si="746">STANDARDIZE(B748,$L$7,$L$8)</f>
        <v>0.8917975567</v>
      </c>
      <c r="G748" s="20">
        <f t="shared" si="746"/>
        <v>7.380453752</v>
      </c>
      <c r="H748" s="20">
        <f t="shared" si="746"/>
        <v>4.192321117</v>
      </c>
      <c r="I748" s="20">
        <f t="shared" si="746"/>
        <v>3.453403141</v>
      </c>
    </row>
    <row r="749" ht="15.75" customHeight="1">
      <c r="A749" s="10">
        <f>Dados!A751</f>
        <v>44911.66667</v>
      </c>
      <c r="B749" s="19">
        <f>Dados!B751</f>
        <v>62.75</v>
      </c>
      <c r="C749" s="19">
        <f>Dados!D751</f>
        <v>244.69</v>
      </c>
      <c r="D749" s="19">
        <f>Dados!F751</f>
        <v>150.23</v>
      </c>
      <c r="E749" s="19">
        <f>Dados!H751</f>
        <v>134.51</v>
      </c>
      <c r="F749" s="20">
        <f t="shared" ref="F749:I749" si="747">STANDARDIZE(B749,$L$7,$L$8)</f>
        <v>0.8792321117</v>
      </c>
      <c r="G749" s="20">
        <f t="shared" si="747"/>
        <v>7.229668412</v>
      </c>
      <c r="H749" s="20">
        <f t="shared" si="747"/>
        <v>3.932635253</v>
      </c>
      <c r="I749" s="20">
        <f t="shared" si="747"/>
        <v>3.383944154</v>
      </c>
    </row>
    <row r="750" ht="15.75" customHeight="1">
      <c r="A750" s="10">
        <f>Dados!A752</f>
        <v>44914.66667</v>
      </c>
      <c r="B750" s="19">
        <f>Dados!B752</f>
        <v>62.84</v>
      </c>
      <c r="C750" s="19">
        <f>Dados!D752</f>
        <v>240.45</v>
      </c>
      <c r="D750" s="19">
        <f>Dados!F752</f>
        <v>149.87</v>
      </c>
      <c r="E750" s="19">
        <f>Dados!H752</f>
        <v>132.37</v>
      </c>
      <c r="F750" s="20">
        <f t="shared" ref="F750:I750" si="748">STANDARDIZE(B750,$L$7,$L$8)</f>
        <v>0.8823734729</v>
      </c>
      <c r="G750" s="20">
        <f t="shared" si="748"/>
        <v>7.081675393</v>
      </c>
      <c r="H750" s="20">
        <f t="shared" si="748"/>
        <v>3.920069808</v>
      </c>
      <c r="I750" s="20">
        <f t="shared" si="748"/>
        <v>3.309249564</v>
      </c>
    </row>
    <row r="751" ht="15.75" customHeight="1">
      <c r="A751" s="10">
        <f>Dados!A753</f>
        <v>44915.66667</v>
      </c>
      <c r="B751" s="19">
        <f>Dados!B753</f>
        <v>62.79</v>
      </c>
      <c r="C751" s="19">
        <f>Dados!D753</f>
        <v>241.8</v>
      </c>
      <c r="D751" s="19">
        <f>Dados!F753</f>
        <v>137.8</v>
      </c>
      <c r="E751" s="19">
        <f>Dados!H753</f>
        <v>132.3</v>
      </c>
      <c r="F751" s="20">
        <f t="shared" ref="F751:I751" si="749">STANDARDIZE(B751,$L$7,$L$8)</f>
        <v>0.8806282723</v>
      </c>
      <c r="G751" s="20">
        <f t="shared" si="749"/>
        <v>7.128795812</v>
      </c>
      <c r="H751" s="20">
        <f t="shared" si="749"/>
        <v>3.49877836</v>
      </c>
      <c r="I751" s="20">
        <f t="shared" si="749"/>
        <v>3.306806283</v>
      </c>
    </row>
    <row r="752" ht="15.75" customHeight="1">
      <c r="A752" s="10">
        <f>Dados!A754</f>
        <v>44916.66667</v>
      </c>
      <c r="B752" s="19">
        <f>Dados!B754</f>
        <v>63.8</v>
      </c>
      <c r="C752" s="19">
        <f>Dados!D754</f>
        <v>244.43</v>
      </c>
      <c r="D752" s="19">
        <f>Dados!F754</f>
        <v>137.57</v>
      </c>
      <c r="E752" s="19">
        <f>Dados!H754</f>
        <v>135.45</v>
      </c>
      <c r="F752" s="20">
        <f t="shared" ref="F752:I752" si="750">STANDARDIZE(B752,$L$7,$L$8)</f>
        <v>0.9158813264</v>
      </c>
      <c r="G752" s="20">
        <f t="shared" si="750"/>
        <v>7.220593368</v>
      </c>
      <c r="H752" s="20">
        <f t="shared" si="750"/>
        <v>3.490750436</v>
      </c>
      <c r="I752" s="20">
        <f t="shared" si="750"/>
        <v>3.416753927</v>
      </c>
    </row>
    <row r="753" ht="15.75" customHeight="1">
      <c r="A753" s="10">
        <f>Dados!A755</f>
        <v>44917.66667</v>
      </c>
      <c r="B753" s="19">
        <f>Dados!B755</f>
        <v>63.34</v>
      </c>
      <c r="C753" s="19">
        <f>Dados!D755</f>
        <v>238.19</v>
      </c>
      <c r="D753" s="19">
        <f>Dados!F755</f>
        <v>125.35</v>
      </c>
      <c r="E753" s="19">
        <f>Dados!H755</f>
        <v>132.23</v>
      </c>
      <c r="F753" s="20">
        <f t="shared" ref="F753:I753" si="751">STANDARDIZE(B753,$L$7,$L$8)</f>
        <v>0.8998254799</v>
      </c>
      <c r="G753" s="20">
        <f t="shared" si="751"/>
        <v>7.002792321</v>
      </c>
      <c r="H753" s="20">
        <f t="shared" si="751"/>
        <v>3.064223386</v>
      </c>
      <c r="I753" s="20">
        <f t="shared" si="751"/>
        <v>3.304363002</v>
      </c>
    </row>
    <row r="754" ht="15.75" customHeight="1">
      <c r="A754" s="10">
        <f>Dados!A756</f>
        <v>44918.66667</v>
      </c>
      <c r="B754" s="19">
        <f>Dados!B756</f>
        <v>63.82</v>
      </c>
      <c r="C754" s="19">
        <f>Dados!D756</f>
        <v>238.73</v>
      </c>
      <c r="D754" s="19">
        <f>Dados!F756</f>
        <v>123.15</v>
      </c>
      <c r="E754" s="19">
        <f>Dados!H756</f>
        <v>131.86</v>
      </c>
      <c r="F754" s="20">
        <f t="shared" ref="F754:I754" si="752">STANDARDIZE(B754,$L$7,$L$8)</f>
        <v>0.9165794066</v>
      </c>
      <c r="G754" s="20">
        <f t="shared" si="752"/>
        <v>7.021640489</v>
      </c>
      <c r="H754" s="20">
        <f t="shared" si="752"/>
        <v>2.987434555</v>
      </c>
      <c r="I754" s="20">
        <f t="shared" si="752"/>
        <v>3.291448517</v>
      </c>
    </row>
    <row r="755" ht="15.75" customHeight="1">
      <c r="A755" s="10">
        <f>Dados!A757</f>
        <v>44922.66667</v>
      </c>
      <c r="B755" s="19">
        <f>Dados!B757</f>
        <v>64.21</v>
      </c>
      <c r="C755" s="19">
        <f>Dados!D757</f>
        <v>236.96</v>
      </c>
      <c r="D755" s="19">
        <f>Dados!F757</f>
        <v>109.1</v>
      </c>
      <c r="E755" s="19">
        <f>Dados!H757</f>
        <v>130.03</v>
      </c>
      <c r="F755" s="20">
        <f t="shared" ref="F755:I755" si="753">STANDARDIZE(B755,$L$7,$L$8)</f>
        <v>0.9301919721</v>
      </c>
      <c r="G755" s="20">
        <f t="shared" si="753"/>
        <v>6.959860384</v>
      </c>
      <c r="H755" s="20">
        <f t="shared" si="753"/>
        <v>2.497033159</v>
      </c>
      <c r="I755" s="20">
        <f t="shared" si="753"/>
        <v>3.227574171</v>
      </c>
    </row>
    <row r="756" ht="15.75" customHeight="1">
      <c r="A756" s="10">
        <f>Dados!A758</f>
        <v>44923.66667</v>
      </c>
      <c r="B756" s="19">
        <f>Dados!B758</f>
        <v>63.57</v>
      </c>
      <c r="C756" s="19">
        <f>Dados!D758</f>
        <v>234.53</v>
      </c>
      <c r="D756" s="19">
        <f>Dados!F758</f>
        <v>112.71</v>
      </c>
      <c r="E756" s="19">
        <f>Dados!H758</f>
        <v>126.04</v>
      </c>
      <c r="F756" s="20">
        <f t="shared" ref="F756:I756" si="754">STANDARDIZE(B756,$L$7,$L$8)</f>
        <v>0.9078534031</v>
      </c>
      <c r="G756" s="20">
        <f t="shared" si="754"/>
        <v>6.87504363</v>
      </c>
      <c r="H756" s="20">
        <f t="shared" si="754"/>
        <v>2.623036649</v>
      </c>
      <c r="I756" s="20">
        <f t="shared" si="754"/>
        <v>3.088307155</v>
      </c>
    </row>
    <row r="757" ht="15.75" customHeight="1">
      <c r="A757" s="10">
        <f>Dados!A759</f>
        <v>44924.66667</v>
      </c>
      <c r="B757" s="19">
        <f>Dados!B759</f>
        <v>63.95</v>
      </c>
      <c r="C757" s="19">
        <f>Dados!D759</f>
        <v>241.01</v>
      </c>
      <c r="D757" s="19">
        <f>Dados!F759</f>
        <v>121.82</v>
      </c>
      <c r="E757" s="19">
        <f>Dados!H759</f>
        <v>129.61</v>
      </c>
      <c r="F757" s="20">
        <f t="shared" ref="F757:I757" si="755">STANDARDIZE(B757,$L$7,$L$8)</f>
        <v>0.9211169284</v>
      </c>
      <c r="G757" s="20">
        <f t="shared" si="755"/>
        <v>7.10122164</v>
      </c>
      <c r="H757" s="20">
        <f t="shared" si="755"/>
        <v>2.941012216</v>
      </c>
      <c r="I757" s="20">
        <f t="shared" si="755"/>
        <v>3.212914485</v>
      </c>
    </row>
    <row r="758" ht="15.75" customHeight="1">
      <c r="A758" s="10">
        <f>Dados!A760</f>
        <v>44925.66667</v>
      </c>
      <c r="B758" s="19">
        <f>Dados!B760</f>
        <v>63.61</v>
      </c>
      <c r="C758" s="19">
        <f>Dados!D760</f>
        <v>239.82</v>
      </c>
      <c r="D758" s="19">
        <f>Dados!F760</f>
        <v>123.18</v>
      </c>
      <c r="E758" s="19">
        <f>Dados!H760</f>
        <v>129.93</v>
      </c>
      <c r="F758" s="20">
        <f t="shared" ref="F758:I758" si="756">STANDARDIZE(B758,$L$7,$L$8)</f>
        <v>0.9092495637</v>
      </c>
      <c r="G758" s="20">
        <f t="shared" si="756"/>
        <v>7.059685864</v>
      </c>
      <c r="H758" s="20">
        <f t="shared" si="756"/>
        <v>2.988481675</v>
      </c>
      <c r="I758" s="20">
        <f t="shared" si="756"/>
        <v>3.22408377</v>
      </c>
    </row>
    <row r="759" ht="15.75" customHeight="1">
      <c r="A759" s="10" t="str">
        <f>Dados!A761</f>
        <v/>
      </c>
      <c r="F759" s="22"/>
      <c r="G759" s="22"/>
      <c r="H759" s="22"/>
      <c r="I759" s="22"/>
    </row>
    <row r="760" ht="15.75" customHeight="1">
      <c r="A760" s="10" t="str">
        <f>Dados!A762</f>
        <v/>
      </c>
      <c r="F760" s="22"/>
      <c r="G760" s="22"/>
      <c r="H760" s="22"/>
      <c r="I760" s="22"/>
    </row>
    <row r="761" ht="15.75" customHeight="1">
      <c r="A761" s="10" t="str">
        <f>Dados!A763</f>
        <v/>
      </c>
      <c r="F761" s="22"/>
      <c r="G761" s="22"/>
      <c r="H761" s="22"/>
      <c r="I761" s="22"/>
    </row>
    <row r="762" ht="15.75" customHeight="1">
      <c r="F762" s="22"/>
      <c r="G762" s="22"/>
      <c r="H762" s="22"/>
      <c r="I762" s="22"/>
    </row>
    <row r="763" ht="15.75" customHeight="1">
      <c r="F763" s="22"/>
      <c r="G763" s="22"/>
      <c r="H763" s="22"/>
      <c r="I763" s="22"/>
    </row>
    <row r="764" ht="15.75" customHeight="1">
      <c r="F764" s="22"/>
      <c r="G764" s="22"/>
      <c r="H764" s="22"/>
      <c r="I764" s="22"/>
    </row>
    <row r="765" ht="15.75" customHeight="1">
      <c r="F765" s="22"/>
      <c r="G765" s="22"/>
      <c r="H765" s="22"/>
      <c r="I765" s="22"/>
    </row>
    <row r="766" ht="15.75" customHeight="1">
      <c r="F766" s="22"/>
      <c r="G766" s="22"/>
      <c r="H766" s="22"/>
      <c r="I766" s="22"/>
    </row>
    <row r="767" ht="15.75" customHeight="1">
      <c r="F767" s="22"/>
      <c r="G767" s="22"/>
      <c r="H767" s="22"/>
      <c r="I767" s="22"/>
    </row>
    <row r="768" ht="15.75" customHeight="1">
      <c r="F768" s="22"/>
      <c r="G768" s="22"/>
      <c r="H768" s="22"/>
      <c r="I768" s="22"/>
    </row>
    <row r="769" ht="15.75" customHeight="1">
      <c r="F769" s="22"/>
      <c r="G769" s="22"/>
      <c r="H769" s="22"/>
      <c r="I769" s="22"/>
    </row>
    <row r="770" ht="15.75" customHeight="1">
      <c r="F770" s="22"/>
      <c r="G770" s="22"/>
      <c r="H770" s="22"/>
      <c r="I770" s="22"/>
    </row>
    <row r="771" ht="15.75" customHeight="1">
      <c r="F771" s="22"/>
      <c r="G771" s="22"/>
      <c r="H771" s="22"/>
      <c r="I771" s="22"/>
    </row>
    <row r="772" ht="15.75" customHeight="1">
      <c r="F772" s="22"/>
      <c r="G772" s="22"/>
      <c r="H772" s="22"/>
      <c r="I772" s="22"/>
    </row>
    <row r="773" ht="15.75" customHeight="1">
      <c r="F773" s="22"/>
      <c r="G773" s="22"/>
      <c r="H773" s="22"/>
      <c r="I773" s="22"/>
    </row>
    <row r="774" ht="15.75" customHeight="1">
      <c r="F774" s="22"/>
      <c r="G774" s="22"/>
      <c r="H774" s="22"/>
      <c r="I774" s="22"/>
    </row>
    <row r="775" ht="15.75" customHeight="1">
      <c r="F775" s="22"/>
      <c r="G775" s="22"/>
      <c r="H775" s="22"/>
      <c r="I775" s="22"/>
    </row>
    <row r="776" ht="15.75" customHeight="1">
      <c r="F776" s="22"/>
      <c r="G776" s="22"/>
      <c r="H776" s="22"/>
      <c r="I776" s="22"/>
    </row>
    <row r="777" ht="15.75" customHeight="1">
      <c r="F777" s="22"/>
      <c r="G777" s="22"/>
      <c r="H777" s="22"/>
      <c r="I777" s="22"/>
    </row>
    <row r="778" ht="15.75" customHeight="1">
      <c r="F778" s="22"/>
      <c r="G778" s="22"/>
      <c r="H778" s="22"/>
      <c r="I778" s="22"/>
    </row>
    <row r="779" ht="15.75" customHeight="1">
      <c r="F779" s="22"/>
      <c r="G779" s="22"/>
      <c r="H779" s="22"/>
      <c r="I779" s="22"/>
    </row>
    <row r="780" ht="15.75" customHeight="1">
      <c r="F780" s="22"/>
      <c r="G780" s="22"/>
      <c r="H780" s="22"/>
      <c r="I780" s="22"/>
    </row>
    <row r="781" ht="15.75" customHeight="1">
      <c r="F781" s="22"/>
      <c r="G781" s="22"/>
      <c r="H781" s="22"/>
      <c r="I781" s="22"/>
    </row>
    <row r="782" ht="15.75" customHeight="1">
      <c r="F782" s="22"/>
      <c r="G782" s="22"/>
      <c r="H782" s="22"/>
      <c r="I782" s="22"/>
    </row>
    <row r="783" ht="15.75" customHeight="1">
      <c r="F783" s="22"/>
      <c r="G783" s="22"/>
      <c r="H783" s="22"/>
      <c r="I783" s="22"/>
    </row>
    <row r="784" ht="15.75" customHeight="1">
      <c r="F784" s="22"/>
      <c r="G784" s="22"/>
      <c r="H784" s="22"/>
      <c r="I784" s="22"/>
    </row>
    <row r="785" ht="15.75" customHeight="1">
      <c r="F785" s="22"/>
      <c r="G785" s="22"/>
      <c r="H785" s="22"/>
      <c r="I785" s="22"/>
    </row>
    <row r="786" ht="15.75" customHeight="1">
      <c r="F786" s="22"/>
      <c r="G786" s="22"/>
      <c r="H786" s="22"/>
      <c r="I786" s="22"/>
    </row>
    <row r="787" ht="15.75" customHeight="1">
      <c r="F787" s="22"/>
      <c r="G787" s="22"/>
      <c r="H787" s="22"/>
      <c r="I787" s="22"/>
    </row>
    <row r="788" ht="15.75" customHeight="1">
      <c r="F788" s="22"/>
      <c r="G788" s="22"/>
      <c r="H788" s="22"/>
      <c r="I788" s="22"/>
    </row>
    <row r="789" ht="15.75" customHeight="1">
      <c r="F789" s="22"/>
      <c r="G789" s="22"/>
      <c r="H789" s="22"/>
      <c r="I789" s="22"/>
    </row>
    <row r="790" ht="15.75" customHeight="1">
      <c r="F790" s="22"/>
      <c r="G790" s="22"/>
      <c r="H790" s="22"/>
      <c r="I790" s="22"/>
    </row>
    <row r="791" ht="15.75" customHeight="1">
      <c r="F791" s="22"/>
      <c r="G791" s="22"/>
      <c r="H791" s="22"/>
      <c r="I791" s="22"/>
    </row>
    <row r="792" ht="15.75" customHeight="1">
      <c r="F792" s="22"/>
      <c r="G792" s="22"/>
      <c r="H792" s="22"/>
      <c r="I792" s="22"/>
    </row>
    <row r="793" ht="15.75" customHeight="1">
      <c r="F793" s="22"/>
      <c r="G793" s="22"/>
      <c r="H793" s="22"/>
      <c r="I793" s="22"/>
    </row>
    <row r="794" ht="15.75" customHeight="1">
      <c r="F794" s="22"/>
      <c r="G794" s="22"/>
      <c r="H794" s="22"/>
      <c r="I794" s="22"/>
    </row>
    <row r="795" ht="15.75" customHeight="1">
      <c r="F795" s="22"/>
      <c r="G795" s="22"/>
      <c r="H795" s="22"/>
      <c r="I795" s="22"/>
    </row>
    <row r="796" ht="15.75" customHeight="1">
      <c r="F796" s="22"/>
      <c r="G796" s="22"/>
      <c r="H796" s="22"/>
      <c r="I796" s="22"/>
    </row>
    <row r="797" ht="15.75" customHeight="1">
      <c r="F797" s="22"/>
      <c r="G797" s="22"/>
      <c r="H797" s="22"/>
      <c r="I797" s="22"/>
    </row>
    <row r="798" ht="15.75" customHeight="1">
      <c r="F798" s="22"/>
      <c r="G798" s="22"/>
      <c r="H798" s="22"/>
      <c r="I798" s="22"/>
    </row>
    <row r="799" ht="15.75" customHeight="1">
      <c r="F799" s="22"/>
      <c r="G799" s="22"/>
      <c r="H799" s="22"/>
      <c r="I799" s="22"/>
    </row>
    <row r="800" ht="15.75" customHeight="1">
      <c r="F800" s="22"/>
      <c r="G800" s="22"/>
      <c r="H800" s="22"/>
      <c r="I800" s="22"/>
    </row>
    <row r="801" ht="15.75" customHeight="1">
      <c r="F801" s="22"/>
      <c r="G801" s="22"/>
      <c r="H801" s="22"/>
      <c r="I801" s="22"/>
    </row>
    <row r="802" ht="15.75" customHeight="1">
      <c r="F802" s="22"/>
      <c r="G802" s="22"/>
      <c r="H802" s="22"/>
      <c r="I802" s="22"/>
    </row>
    <row r="803" ht="15.75" customHeight="1">
      <c r="F803" s="22"/>
      <c r="G803" s="22"/>
      <c r="H803" s="22"/>
      <c r="I803" s="22"/>
    </row>
    <row r="804" ht="15.75" customHeight="1">
      <c r="F804" s="22"/>
      <c r="G804" s="22"/>
      <c r="H804" s="22"/>
      <c r="I804" s="22"/>
    </row>
    <row r="805" ht="15.75" customHeight="1">
      <c r="F805" s="22"/>
      <c r="G805" s="22"/>
      <c r="H805" s="22"/>
      <c r="I805" s="22"/>
    </row>
    <row r="806" ht="15.75" customHeight="1">
      <c r="F806" s="22"/>
      <c r="G806" s="22"/>
      <c r="H806" s="22"/>
      <c r="I806" s="22"/>
    </row>
    <row r="807" ht="15.75" customHeight="1">
      <c r="F807" s="22"/>
      <c r="G807" s="22"/>
      <c r="H807" s="22"/>
      <c r="I807" s="22"/>
    </row>
    <row r="808" ht="15.75" customHeight="1">
      <c r="F808" s="22"/>
      <c r="G808" s="22"/>
      <c r="H808" s="22"/>
      <c r="I808" s="22"/>
    </row>
    <row r="809" ht="15.75" customHeight="1">
      <c r="F809" s="22"/>
      <c r="G809" s="22"/>
      <c r="H809" s="22"/>
      <c r="I809" s="22"/>
    </row>
    <row r="810" ht="15.75" customHeight="1">
      <c r="F810" s="22"/>
      <c r="G810" s="22"/>
      <c r="H810" s="22"/>
      <c r="I810" s="22"/>
    </row>
    <row r="811" ht="15.75" customHeight="1">
      <c r="F811" s="22"/>
      <c r="G811" s="22"/>
      <c r="H811" s="22"/>
      <c r="I811" s="22"/>
    </row>
    <row r="812" ht="15.75" customHeight="1">
      <c r="F812" s="22"/>
      <c r="G812" s="22"/>
      <c r="H812" s="22"/>
      <c r="I812" s="22"/>
    </row>
    <row r="813" ht="15.75" customHeight="1">
      <c r="F813" s="22"/>
      <c r="G813" s="22"/>
      <c r="H813" s="22"/>
      <c r="I813" s="22"/>
    </row>
    <row r="814" ht="15.75" customHeight="1">
      <c r="F814" s="22"/>
      <c r="G814" s="22"/>
      <c r="H814" s="22"/>
      <c r="I814" s="22"/>
    </row>
    <row r="815" ht="15.75" customHeight="1">
      <c r="F815" s="22"/>
      <c r="G815" s="22"/>
      <c r="H815" s="22"/>
      <c r="I815" s="22"/>
    </row>
    <row r="816" ht="15.75" customHeight="1">
      <c r="F816" s="22"/>
      <c r="G816" s="22"/>
      <c r="H816" s="22"/>
      <c r="I816" s="22"/>
    </row>
    <row r="817" ht="15.75" customHeight="1">
      <c r="F817" s="22"/>
      <c r="G817" s="22"/>
      <c r="H817" s="22"/>
      <c r="I817" s="22"/>
    </row>
    <row r="818" ht="15.75" customHeight="1">
      <c r="F818" s="22"/>
      <c r="G818" s="22"/>
      <c r="H818" s="22"/>
      <c r="I818" s="22"/>
    </row>
    <row r="819" ht="15.75" customHeight="1">
      <c r="F819" s="22"/>
      <c r="G819" s="22"/>
      <c r="H819" s="22"/>
      <c r="I819" s="22"/>
    </row>
    <row r="820" ht="15.75" customHeight="1">
      <c r="F820" s="22"/>
      <c r="G820" s="22"/>
      <c r="H820" s="22"/>
      <c r="I820" s="22"/>
    </row>
    <row r="821" ht="15.75" customHeight="1">
      <c r="F821" s="22"/>
      <c r="G821" s="22"/>
      <c r="H821" s="22"/>
      <c r="I821" s="22"/>
    </row>
    <row r="822" ht="15.75" customHeight="1">
      <c r="F822" s="22"/>
      <c r="G822" s="22"/>
      <c r="H822" s="22"/>
      <c r="I822" s="22"/>
    </row>
    <row r="823" ht="15.75" customHeight="1">
      <c r="F823" s="22"/>
      <c r="G823" s="22"/>
      <c r="H823" s="22"/>
      <c r="I823" s="22"/>
    </row>
    <row r="824" ht="15.75" customHeight="1">
      <c r="F824" s="22"/>
      <c r="G824" s="22"/>
      <c r="H824" s="22"/>
      <c r="I824" s="22"/>
    </row>
    <row r="825" ht="15.75" customHeight="1">
      <c r="F825" s="22"/>
      <c r="G825" s="22"/>
      <c r="H825" s="22"/>
      <c r="I825" s="22"/>
    </row>
    <row r="826" ht="15.75" customHeight="1">
      <c r="F826" s="22"/>
      <c r="G826" s="22"/>
      <c r="H826" s="22"/>
      <c r="I826" s="22"/>
    </row>
    <row r="827" ht="15.75" customHeight="1">
      <c r="F827" s="22"/>
      <c r="G827" s="22"/>
      <c r="H827" s="22"/>
      <c r="I827" s="22"/>
    </row>
    <row r="828" ht="15.75" customHeight="1">
      <c r="F828" s="22"/>
      <c r="G828" s="22"/>
      <c r="H828" s="22"/>
      <c r="I828" s="22"/>
    </row>
    <row r="829" ht="15.75" customHeight="1">
      <c r="F829" s="22"/>
      <c r="G829" s="22"/>
      <c r="H829" s="22"/>
      <c r="I829" s="22"/>
    </row>
    <row r="830" ht="15.75" customHeight="1">
      <c r="F830" s="22"/>
      <c r="G830" s="22"/>
      <c r="H830" s="22"/>
      <c r="I830" s="22"/>
    </row>
    <row r="831" ht="15.75" customHeight="1">
      <c r="F831" s="22"/>
      <c r="G831" s="22"/>
      <c r="H831" s="22"/>
      <c r="I831" s="22"/>
    </row>
    <row r="832" ht="15.75" customHeight="1">
      <c r="F832" s="22"/>
      <c r="G832" s="22"/>
      <c r="H832" s="22"/>
      <c r="I832" s="22"/>
    </row>
    <row r="833" ht="15.75" customHeight="1">
      <c r="F833" s="22"/>
      <c r="G833" s="22"/>
      <c r="H833" s="22"/>
      <c r="I833" s="22"/>
    </row>
    <row r="834" ht="15.75" customHeight="1">
      <c r="F834" s="22"/>
      <c r="G834" s="22"/>
      <c r="H834" s="22"/>
      <c r="I834" s="22"/>
    </row>
    <row r="835" ht="15.75" customHeight="1">
      <c r="F835" s="22"/>
      <c r="G835" s="22"/>
      <c r="H835" s="22"/>
      <c r="I835" s="22"/>
    </row>
    <row r="836" ht="15.75" customHeight="1">
      <c r="F836" s="22"/>
      <c r="G836" s="22"/>
      <c r="H836" s="22"/>
      <c r="I836" s="22"/>
    </row>
    <row r="837" ht="15.75" customHeight="1">
      <c r="F837" s="22"/>
      <c r="G837" s="22"/>
      <c r="H837" s="22"/>
      <c r="I837" s="22"/>
    </row>
    <row r="838" ht="15.75" customHeight="1">
      <c r="F838" s="22"/>
      <c r="G838" s="22"/>
      <c r="H838" s="22"/>
      <c r="I838" s="22"/>
    </row>
    <row r="839" ht="15.75" customHeight="1">
      <c r="F839" s="22"/>
      <c r="G839" s="22"/>
      <c r="H839" s="22"/>
      <c r="I839" s="22"/>
    </row>
    <row r="840" ht="15.75" customHeight="1">
      <c r="F840" s="22"/>
      <c r="G840" s="22"/>
      <c r="H840" s="22"/>
      <c r="I840" s="22"/>
    </row>
    <row r="841" ht="15.75" customHeight="1">
      <c r="F841" s="22"/>
      <c r="G841" s="22"/>
      <c r="H841" s="22"/>
      <c r="I841" s="22"/>
    </row>
    <row r="842" ht="15.75" customHeight="1">
      <c r="F842" s="22"/>
      <c r="G842" s="22"/>
      <c r="H842" s="22"/>
      <c r="I842" s="22"/>
    </row>
    <row r="843" ht="15.75" customHeight="1">
      <c r="F843" s="22"/>
      <c r="G843" s="22"/>
      <c r="H843" s="22"/>
      <c r="I843" s="22"/>
    </row>
    <row r="844" ht="15.75" customHeight="1">
      <c r="F844" s="22"/>
      <c r="G844" s="22"/>
      <c r="H844" s="22"/>
      <c r="I844" s="22"/>
    </row>
    <row r="845" ht="15.75" customHeight="1">
      <c r="F845" s="22"/>
      <c r="G845" s="22"/>
      <c r="H845" s="22"/>
      <c r="I845" s="22"/>
    </row>
    <row r="846" ht="15.75" customHeight="1">
      <c r="F846" s="22"/>
      <c r="G846" s="22"/>
      <c r="H846" s="22"/>
      <c r="I846" s="22"/>
    </row>
    <row r="847" ht="15.75" customHeight="1">
      <c r="F847" s="22"/>
      <c r="G847" s="22"/>
      <c r="H847" s="22"/>
      <c r="I847" s="22"/>
    </row>
    <row r="848" ht="15.75" customHeight="1">
      <c r="F848" s="22"/>
      <c r="G848" s="22"/>
      <c r="H848" s="22"/>
      <c r="I848" s="22"/>
    </row>
    <row r="849" ht="15.75" customHeight="1">
      <c r="F849" s="22"/>
      <c r="G849" s="22"/>
      <c r="H849" s="22"/>
      <c r="I849" s="22"/>
    </row>
    <row r="850" ht="15.75" customHeight="1">
      <c r="F850" s="22"/>
      <c r="G850" s="22"/>
      <c r="H850" s="22"/>
      <c r="I850" s="22"/>
    </row>
    <row r="851" ht="15.75" customHeight="1">
      <c r="F851" s="22"/>
      <c r="G851" s="22"/>
      <c r="H851" s="22"/>
      <c r="I851" s="22"/>
    </row>
    <row r="852" ht="15.75" customHeight="1">
      <c r="F852" s="22"/>
      <c r="G852" s="22"/>
      <c r="H852" s="22"/>
      <c r="I852" s="22"/>
    </row>
    <row r="853" ht="15.75" customHeight="1">
      <c r="F853" s="22"/>
      <c r="G853" s="22"/>
      <c r="H853" s="22"/>
      <c r="I853" s="22"/>
    </row>
    <row r="854" ht="15.75" customHeight="1">
      <c r="F854" s="22"/>
      <c r="G854" s="22"/>
      <c r="H854" s="22"/>
      <c r="I854" s="22"/>
    </row>
    <row r="855" ht="15.75" customHeight="1">
      <c r="F855" s="22"/>
      <c r="G855" s="22"/>
      <c r="H855" s="22"/>
      <c r="I855" s="22"/>
    </row>
    <row r="856" ht="15.75" customHeight="1">
      <c r="F856" s="22"/>
      <c r="G856" s="22"/>
      <c r="H856" s="22"/>
      <c r="I856" s="22"/>
    </row>
    <row r="857" ht="15.75" customHeight="1">
      <c r="F857" s="22"/>
      <c r="G857" s="22"/>
      <c r="H857" s="22"/>
      <c r="I857" s="22"/>
    </row>
    <row r="858" ht="15.75" customHeight="1">
      <c r="F858" s="22"/>
      <c r="G858" s="22"/>
      <c r="H858" s="22"/>
      <c r="I858" s="22"/>
    </row>
    <row r="859" ht="15.75" customHeight="1">
      <c r="F859" s="22"/>
      <c r="G859" s="22"/>
      <c r="H859" s="22"/>
      <c r="I859" s="22"/>
    </row>
    <row r="860" ht="15.75" customHeight="1">
      <c r="F860" s="22"/>
      <c r="G860" s="22"/>
      <c r="H860" s="22"/>
      <c r="I860" s="22"/>
    </row>
    <row r="861" ht="15.75" customHeight="1">
      <c r="F861" s="22"/>
      <c r="G861" s="22"/>
      <c r="H861" s="22"/>
      <c r="I861" s="22"/>
    </row>
    <row r="862" ht="15.75" customHeight="1">
      <c r="F862" s="22"/>
      <c r="G862" s="22"/>
      <c r="H862" s="22"/>
      <c r="I862" s="22"/>
    </row>
    <row r="863" ht="15.75" customHeight="1">
      <c r="F863" s="22"/>
      <c r="G863" s="22"/>
      <c r="H863" s="22"/>
      <c r="I863" s="22"/>
    </row>
    <row r="864" ht="15.75" customHeight="1">
      <c r="F864" s="22"/>
      <c r="G864" s="22"/>
      <c r="H864" s="22"/>
      <c r="I864" s="22"/>
    </row>
    <row r="865" ht="15.75" customHeight="1">
      <c r="F865" s="22"/>
      <c r="G865" s="22"/>
      <c r="H865" s="22"/>
      <c r="I865" s="22"/>
    </row>
    <row r="866" ht="15.75" customHeight="1">
      <c r="F866" s="22"/>
      <c r="G866" s="22"/>
      <c r="H866" s="22"/>
      <c r="I866" s="22"/>
    </row>
    <row r="867" ht="15.75" customHeight="1">
      <c r="F867" s="22"/>
      <c r="G867" s="22"/>
      <c r="H867" s="22"/>
      <c r="I867" s="22"/>
    </row>
    <row r="868" ht="15.75" customHeight="1">
      <c r="F868" s="22"/>
      <c r="G868" s="22"/>
      <c r="H868" s="22"/>
      <c r="I868" s="22"/>
    </row>
    <row r="869" ht="15.75" customHeight="1">
      <c r="F869" s="22"/>
      <c r="G869" s="22"/>
      <c r="H869" s="22"/>
      <c r="I869" s="22"/>
    </row>
    <row r="870" ht="15.75" customHeight="1">
      <c r="F870" s="22"/>
      <c r="G870" s="22"/>
      <c r="H870" s="22"/>
      <c r="I870" s="22"/>
    </row>
    <row r="871" ht="15.75" customHeight="1">
      <c r="F871" s="22"/>
      <c r="G871" s="22"/>
      <c r="H871" s="22"/>
      <c r="I871" s="22"/>
    </row>
    <row r="872" ht="15.75" customHeight="1">
      <c r="F872" s="22"/>
      <c r="G872" s="22"/>
      <c r="H872" s="22"/>
      <c r="I872" s="22"/>
    </row>
    <row r="873" ht="15.75" customHeight="1">
      <c r="F873" s="22"/>
      <c r="G873" s="22"/>
      <c r="H873" s="22"/>
      <c r="I873" s="22"/>
    </row>
    <row r="874" ht="15.75" customHeight="1">
      <c r="F874" s="22"/>
      <c r="G874" s="22"/>
      <c r="H874" s="22"/>
      <c r="I874" s="22"/>
    </row>
    <row r="875" ht="15.75" customHeight="1">
      <c r="F875" s="22"/>
      <c r="G875" s="22"/>
      <c r="H875" s="22"/>
      <c r="I875" s="22"/>
    </row>
    <row r="876" ht="15.75" customHeight="1">
      <c r="F876" s="22"/>
      <c r="G876" s="22"/>
      <c r="H876" s="22"/>
      <c r="I876" s="22"/>
    </row>
    <row r="877" ht="15.75" customHeight="1">
      <c r="F877" s="22"/>
      <c r="G877" s="22"/>
      <c r="H877" s="22"/>
      <c r="I877" s="22"/>
    </row>
    <row r="878" ht="15.75" customHeight="1">
      <c r="F878" s="22"/>
      <c r="G878" s="22"/>
      <c r="H878" s="22"/>
      <c r="I878" s="22"/>
    </row>
    <row r="879" ht="15.75" customHeight="1">
      <c r="F879" s="22"/>
      <c r="G879" s="22"/>
      <c r="H879" s="22"/>
      <c r="I879" s="22"/>
    </row>
    <row r="880" ht="15.75" customHeight="1">
      <c r="F880" s="22"/>
      <c r="G880" s="22"/>
      <c r="H880" s="22"/>
      <c r="I880" s="22"/>
    </row>
    <row r="881" ht="15.75" customHeight="1">
      <c r="F881" s="22"/>
      <c r="G881" s="22"/>
      <c r="H881" s="22"/>
      <c r="I881" s="22"/>
    </row>
    <row r="882" ht="15.75" customHeight="1">
      <c r="F882" s="22"/>
      <c r="G882" s="22"/>
      <c r="H882" s="22"/>
      <c r="I882" s="22"/>
    </row>
    <row r="883" ht="15.75" customHeight="1">
      <c r="F883" s="22"/>
      <c r="G883" s="22"/>
      <c r="H883" s="22"/>
      <c r="I883" s="22"/>
    </row>
    <row r="884" ht="15.75" customHeight="1">
      <c r="F884" s="22"/>
      <c r="G884" s="22"/>
      <c r="H884" s="22"/>
      <c r="I884" s="22"/>
    </row>
    <row r="885" ht="15.75" customHeight="1">
      <c r="F885" s="22"/>
      <c r="G885" s="22"/>
      <c r="H885" s="22"/>
      <c r="I885" s="22"/>
    </row>
    <row r="886" ht="15.75" customHeight="1">
      <c r="F886" s="22"/>
      <c r="G886" s="22"/>
      <c r="H886" s="22"/>
      <c r="I886" s="22"/>
    </row>
    <row r="887" ht="15.75" customHeight="1">
      <c r="F887" s="22"/>
      <c r="G887" s="22"/>
      <c r="H887" s="22"/>
      <c r="I887" s="22"/>
    </row>
    <row r="888" ht="15.75" customHeight="1">
      <c r="F888" s="22"/>
      <c r="G888" s="22"/>
      <c r="H888" s="22"/>
      <c r="I888" s="22"/>
    </row>
    <row r="889" ht="15.75" customHeight="1">
      <c r="F889" s="22"/>
      <c r="G889" s="22"/>
      <c r="H889" s="22"/>
      <c r="I889" s="22"/>
    </row>
    <row r="890" ht="15.75" customHeight="1">
      <c r="F890" s="22"/>
      <c r="G890" s="22"/>
      <c r="H890" s="22"/>
      <c r="I890" s="22"/>
    </row>
    <row r="891" ht="15.75" customHeight="1">
      <c r="F891" s="22"/>
      <c r="G891" s="22"/>
      <c r="H891" s="22"/>
      <c r="I891" s="22"/>
    </row>
    <row r="892" ht="15.75" customHeight="1">
      <c r="F892" s="22"/>
      <c r="G892" s="22"/>
      <c r="H892" s="22"/>
      <c r="I892" s="22"/>
    </row>
    <row r="893" ht="15.75" customHeight="1">
      <c r="F893" s="22"/>
      <c r="G893" s="22"/>
      <c r="H893" s="22"/>
      <c r="I893" s="22"/>
    </row>
    <row r="894" ht="15.75" customHeight="1">
      <c r="F894" s="22"/>
      <c r="G894" s="22"/>
      <c r="H894" s="22"/>
      <c r="I894" s="22"/>
    </row>
    <row r="895" ht="15.75" customHeight="1">
      <c r="F895" s="22"/>
      <c r="G895" s="22"/>
      <c r="H895" s="22"/>
      <c r="I895" s="22"/>
    </row>
    <row r="896" ht="15.75" customHeight="1">
      <c r="F896" s="22"/>
      <c r="G896" s="22"/>
      <c r="H896" s="22"/>
      <c r="I896" s="22"/>
    </row>
    <row r="897" ht="15.75" customHeight="1">
      <c r="F897" s="22"/>
      <c r="G897" s="22"/>
      <c r="H897" s="22"/>
      <c r="I897" s="22"/>
    </row>
    <row r="898" ht="15.75" customHeight="1">
      <c r="F898" s="22"/>
      <c r="G898" s="22"/>
      <c r="H898" s="22"/>
      <c r="I898" s="22"/>
    </row>
    <row r="899" ht="15.75" customHeight="1">
      <c r="F899" s="22"/>
      <c r="G899" s="22"/>
      <c r="H899" s="22"/>
      <c r="I899" s="22"/>
    </row>
    <row r="900" ht="15.75" customHeight="1">
      <c r="F900" s="22"/>
      <c r="G900" s="22"/>
      <c r="H900" s="22"/>
      <c r="I900" s="22"/>
    </row>
    <row r="901" ht="15.75" customHeight="1">
      <c r="F901" s="22"/>
      <c r="G901" s="22"/>
      <c r="H901" s="22"/>
      <c r="I901" s="22"/>
    </row>
    <row r="902" ht="15.75" customHeight="1">
      <c r="F902" s="22"/>
      <c r="G902" s="22"/>
      <c r="H902" s="22"/>
      <c r="I902" s="22"/>
    </row>
    <row r="903" ht="15.75" customHeight="1">
      <c r="F903" s="22"/>
      <c r="G903" s="22"/>
      <c r="H903" s="22"/>
      <c r="I903" s="22"/>
    </row>
    <row r="904" ht="15.75" customHeight="1">
      <c r="F904" s="22"/>
      <c r="G904" s="22"/>
      <c r="H904" s="22"/>
      <c r="I904" s="22"/>
    </row>
    <row r="905" ht="15.75" customHeight="1">
      <c r="F905" s="22"/>
      <c r="G905" s="22"/>
      <c r="H905" s="22"/>
      <c r="I905" s="22"/>
    </row>
    <row r="906" ht="15.75" customHeight="1">
      <c r="F906" s="22"/>
      <c r="G906" s="22"/>
      <c r="H906" s="22"/>
      <c r="I906" s="22"/>
    </row>
    <row r="907" ht="15.75" customHeight="1">
      <c r="F907" s="22"/>
      <c r="G907" s="22"/>
      <c r="H907" s="22"/>
      <c r="I907" s="22"/>
    </row>
    <row r="908" ht="15.75" customHeight="1">
      <c r="F908" s="22"/>
      <c r="G908" s="22"/>
      <c r="H908" s="22"/>
      <c r="I908" s="22"/>
    </row>
    <row r="909" ht="15.75" customHeight="1">
      <c r="F909" s="22"/>
      <c r="G909" s="22"/>
      <c r="H909" s="22"/>
      <c r="I909" s="22"/>
    </row>
    <row r="910" ht="15.75" customHeight="1">
      <c r="F910" s="22"/>
      <c r="G910" s="22"/>
      <c r="H910" s="22"/>
      <c r="I910" s="22"/>
    </row>
    <row r="911" ht="15.75" customHeight="1">
      <c r="F911" s="22"/>
      <c r="G911" s="22"/>
      <c r="H911" s="22"/>
      <c r="I911" s="22"/>
    </row>
    <row r="912" ht="15.75" customHeight="1">
      <c r="F912" s="22"/>
      <c r="G912" s="22"/>
      <c r="H912" s="22"/>
      <c r="I912" s="22"/>
    </row>
    <row r="913" ht="15.75" customHeight="1">
      <c r="F913" s="22"/>
      <c r="G913" s="22"/>
      <c r="H913" s="22"/>
      <c r="I913" s="22"/>
    </row>
    <row r="914" ht="15.75" customHeight="1">
      <c r="F914" s="22"/>
      <c r="G914" s="22"/>
      <c r="H914" s="22"/>
      <c r="I914" s="22"/>
    </row>
    <row r="915" ht="15.75" customHeight="1">
      <c r="F915" s="22"/>
      <c r="G915" s="22"/>
      <c r="H915" s="22"/>
      <c r="I915" s="22"/>
    </row>
    <row r="916" ht="15.75" customHeight="1">
      <c r="F916" s="22"/>
      <c r="G916" s="22"/>
      <c r="H916" s="22"/>
      <c r="I916" s="22"/>
    </row>
    <row r="917" ht="15.75" customHeight="1">
      <c r="F917" s="22"/>
      <c r="G917" s="22"/>
      <c r="H917" s="22"/>
      <c r="I917" s="22"/>
    </row>
    <row r="918" ht="15.75" customHeight="1">
      <c r="F918" s="22"/>
      <c r="G918" s="22"/>
      <c r="H918" s="22"/>
      <c r="I918" s="22"/>
    </row>
    <row r="919" ht="15.75" customHeight="1">
      <c r="F919" s="22"/>
      <c r="G919" s="22"/>
      <c r="H919" s="22"/>
      <c r="I919" s="22"/>
    </row>
    <row r="920" ht="15.75" customHeight="1">
      <c r="F920" s="22"/>
      <c r="G920" s="22"/>
      <c r="H920" s="22"/>
      <c r="I920" s="22"/>
    </row>
    <row r="921" ht="15.75" customHeight="1">
      <c r="F921" s="22"/>
      <c r="G921" s="22"/>
      <c r="H921" s="22"/>
      <c r="I921" s="22"/>
    </row>
    <row r="922" ht="15.75" customHeight="1">
      <c r="F922" s="22"/>
      <c r="G922" s="22"/>
      <c r="H922" s="22"/>
      <c r="I922" s="22"/>
    </row>
    <row r="923" ht="15.75" customHeight="1">
      <c r="F923" s="22"/>
      <c r="G923" s="22"/>
      <c r="H923" s="22"/>
      <c r="I923" s="22"/>
    </row>
    <row r="924" ht="15.75" customHeight="1">
      <c r="F924" s="22"/>
      <c r="G924" s="22"/>
      <c r="H924" s="22"/>
      <c r="I924" s="22"/>
    </row>
    <row r="925" ht="15.75" customHeight="1">
      <c r="F925" s="22"/>
      <c r="G925" s="22"/>
      <c r="H925" s="22"/>
      <c r="I925" s="22"/>
    </row>
    <row r="926" ht="15.75" customHeight="1">
      <c r="F926" s="22"/>
      <c r="G926" s="22"/>
      <c r="H926" s="22"/>
      <c r="I926" s="22"/>
    </row>
    <row r="927" ht="15.75" customHeight="1">
      <c r="F927" s="22"/>
      <c r="G927" s="22"/>
      <c r="H927" s="22"/>
      <c r="I927" s="22"/>
    </row>
    <row r="928" ht="15.75" customHeight="1">
      <c r="F928" s="22"/>
      <c r="G928" s="22"/>
      <c r="H928" s="22"/>
      <c r="I928" s="22"/>
    </row>
    <row r="929" ht="15.75" customHeight="1">
      <c r="F929" s="22"/>
      <c r="G929" s="22"/>
      <c r="H929" s="22"/>
      <c r="I929" s="22"/>
    </row>
    <row r="930" ht="15.75" customHeight="1">
      <c r="F930" s="22"/>
      <c r="G930" s="22"/>
      <c r="H930" s="22"/>
      <c r="I930" s="22"/>
    </row>
    <row r="931" ht="15.75" customHeight="1">
      <c r="F931" s="22"/>
      <c r="G931" s="22"/>
      <c r="H931" s="22"/>
      <c r="I931" s="22"/>
    </row>
    <row r="932" ht="15.75" customHeight="1">
      <c r="F932" s="22"/>
      <c r="G932" s="22"/>
      <c r="H932" s="22"/>
      <c r="I932" s="22"/>
    </row>
    <row r="933" ht="15.75" customHeight="1">
      <c r="F933" s="22"/>
      <c r="G933" s="22"/>
      <c r="H933" s="22"/>
      <c r="I933" s="22"/>
    </row>
    <row r="934" ht="15.75" customHeight="1">
      <c r="F934" s="22"/>
      <c r="G934" s="22"/>
      <c r="H934" s="22"/>
      <c r="I934" s="22"/>
    </row>
    <row r="935" ht="15.75" customHeight="1">
      <c r="F935" s="22"/>
      <c r="G935" s="22"/>
      <c r="H935" s="22"/>
      <c r="I935" s="22"/>
    </row>
    <row r="936" ht="15.75" customHeight="1">
      <c r="F936" s="22"/>
      <c r="G936" s="22"/>
      <c r="H936" s="22"/>
      <c r="I936" s="22"/>
    </row>
    <row r="937" ht="15.75" customHeight="1">
      <c r="F937" s="22"/>
      <c r="G937" s="22"/>
      <c r="H937" s="22"/>
      <c r="I937" s="22"/>
    </row>
    <row r="938" ht="15.75" customHeight="1">
      <c r="F938" s="22"/>
      <c r="G938" s="22"/>
      <c r="H938" s="22"/>
      <c r="I938" s="22"/>
    </row>
    <row r="939" ht="15.75" customHeight="1">
      <c r="F939" s="22"/>
      <c r="G939" s="22"/>
      <c r="H939" s="22"/>
      <c r="I939" s="22"/>
    </row>
    <row r="940" ht="15.75" customHeight="1">
      <c r="F940" s="22"/>
      <c r="G940" s="22"/>
      <c r="H940" s="22"/>
      <c r="I940" s="22"/>
    </row>
    <row r="941" ht="15.75" customHeight="1">
      <c r="F941" s="22"/>
      <c r="G941" s="22"/>
      <c r="H941" s="22"/>
      <c r="I941" s="22"/>
    </row>
    <row r="942" ht="15.75" customHeight="1">
      <c r="F942" s="22"/>
      <c r="G942" s="22"/>
      <c r="H942" s="22"/>
      <c r="I942" s="22"/>
    </row>
    <row r="943" ht="15.75" customHeight="1">
      <c r="F943" s="22"/>
      <c r="G943" s="22"/>
      <c r="H943" s="22"/>
      <c r="I943" s="22"/>
    </row>
    <row r="944" ht="15.75" customHeight="1">
      <c r="F944" s="22"/>
      <c r="G944" s="22"/>
      <c r="H944" s="22"/>
      <c r="I944" s="22"/>
    </row>
    <row r="945" ht="15.75" customHeight="1">
      <c r="F945" s="22"/>
      <c r="G945" s="22"/>
      <c r="H945" s="22"/>
      <c r="I945" s="22"/>
    </row>
    <row r="946" ht="15.75" customHeight="1">
      <c r="F946" s="22"/>
      <c r="G946" s="22"/>
      <c r="H946" s="22"/>
      <c r="I946" s="22"/>
    </row>
    <row r="947" ht="15.75" customHeight="1">
      <c r="F947" s="22"/>
      <c r="G947" s="22"/>
      <c r="H947" s="22"/>
      <c r="I947" s="22"/>
    </row>
    <row r="948" ht="15.75" customHeight="1">
      <c r="F948" s="22"/>
      <c r="G948" s="22"/>
      <c r="H948" s="22"/>
      <c r="I948" s="22"/>
    </row>
    <row r="949" ht="15.75" customHeight="1">
      <c r="F949" s="22"/>
      <c r="G949" s="22"/>
      <c r="H949" s="22"/>
      <c r="I949" s="22"/>
    </row>
    <row r="950" ht="15.75" customHeight="1">
      <c r="F950" s="22"/>
      <c r="G950" s="22"/>
      <c r="H950" s="22"/>
      <c r="I950" s="22"/>
    </row>
    <row r="951" ht="15.75" customHeight="1">
      <c r="F951" s="22"/>
      <c r="G951" s="22"/>
      <c r="H951" s="22"/>
      <c r="I951" s="22"/>
    </row>
    <row r="952" ht="15.75" customHeight="1">
      <c r="F952" s="22"/>
      <c r="G952" s="22"/>
      <c r="H952" s="22"/>
      <c r="I952" s="22"/>
    </row>
    <row r="953" ht="15.75" customHeight="1">
      <c r="F953" s="22"/>
      <c r="G953" s="22"/>
      <c r="H953" s="22"/>
      <c r="I953" s="22"/>
    </row>
    <row r="954" ht="15.75" customHeight="1">
      <c r="F954" s="22"/>
      <c r="G954" s="22"/>
      <c r="H954" s="22"/>
      <c r="I954" s="22"/>
    </row>
    <row r="955" ht="15.75" customHeight="1">
      <c r="F955" s="22"/>
      <c r="G955" s="22"/>
      <c r="H955" s="22"/>
      <c r="I955" s="22"/>
    </row>
    <row r="956" ht="15.75" customHeight="1">
      <c r="F956" s="22"/>
      <c r="G956" s="22"/>
      <c r="H956" s="22"/>
      <c r="I956" s="22"/>
    </row>
    <row r="957" ht="15.75" customHeight="1">
      <c r="F957" s="22"/>
      <c r="G957" s="22"/>
      <c r="H957" s="22"/>
      <c r="I957" s="22"/>
    </row>
    <row r="958" ht="15.75" customHeight="1">
      <c r="F958" s="22"/>
      <c r="G958" s="22"/>
      <c r="H958" s="22"/>
      <c r="I958" s="22"/>
    </row>
    <row r="959" ht="15.75" customHeight="1">
      <c r="F959" s="22"/>
      <c r="G959" s="22"/>
      <c r="H959" s="22"/>
      <c r="I959" s="22"/>
    </row>
    <row r="960" ht="15.75" customHeight="1">
      <c r="F960" s="22"/>
      <c r="G960" s="22"/>
      <c r="H960" s="22"/>
      <c r="I960" s="22"/>
    </row>
    <row r="961" ht="15.75" customHeight="1">
      <c r="F961" s="22"/>
      <c r="G961" s="22"/>
      <c r="H961" s="22"/>
      <c r="I961" s="22"/>
    </row>
    <row r="962" ht="15.75" customHeight="1">
      <c r="F962" s="23"/>
    </row>
    <row r="963" ht="15.75" customHeight="1">
      <c r="F963" s="23"/>
    </row>
    <row r="964" ht="15.75" customHeight="1">
      <c r="F964" s="23"/>
    </row>
    <row r="965" ht="15.75" customHeight="1">
      <c r="F965" s="23"/>
    </row>
    <row r="966" ht="15.75" customHeight="1">
      <c r="F966" s="23"/>
    </row>
    <row r="967" ht="15.75" customHeight="1">
      <c r="F967" s="23"/>
    </row>
    <row r="968" ht="15.75" customHeight="1">
      <c r="F968" s="23"/>
    </row>
    <row r="969" ht="15.75" customHeight="1">
      <c r="F969" s="23"/>
    </row>
    <row r="970" ht="15.75" customHeight="1">
      <c r="F970" s="23"/>
    </row>
    <row r="971" ht="15.75" customHeight="1">
      <c r="F971" s="23"/>
    </row>
    <row r="972" ht="15.75" customHeight="1">
      <c r="F972" s="23"/>
    </row>
    <row r="973" ht="15.75" customHeight="1">
      <c r="F973" s="23"/>
    </row>
    <row r="974" ht="15.75" customHeight="1">
      <c r="F974" s="23"/>
    </row>
    <row r="975" ht="15.75" customHeight="1">
      <c r="F975" s="23"/>
    </row>
    <row r="976" ht="15.75" customHeight="1">
      <c r="F976" s="23"/>
    </row>
    <row r="977" ht="15.75" customHeight="1">
      <c r="F977" s="23"/>
    </row>
    <row r="978" ht="15.75" customHeight="1">
      <c r="F978" s="23"/>
    </row>
    <row r="979" ht="15.75" customHeight="1">
      <c r="F979" s="23"/>
    </row>
    <row r="980" ht="15.75" customHeight="1">
      <c r="F980" s="23"/>
    </row>
    <row r="981" ht="15.75" customHeight="1">
      <c r="F981" s="23"/>
    </row>
    <row r="982" ht="15.75" customHeight="1">
      <c r="F982" s="23"/>
    </row>
    <row r="983" ht="15.75" customHeight="1">
      <c r="F983" s="23"/>
    </row>
    <row r="984" ht="15.75" customHeight="1">
      <c r="F984" s="23"/>
    </row>
    <row r="985" ht="15.75" customHeight="1">
      <c r="F985" s="23"/>
    </row>
    <row r="986" ht="15.75" customHeight="1">
      <c r="F986" s="23"/>
    </row>
    <row r="987" ht="15.75" customHeight="1">
      <c r="F987" s="23"/>
    </row>
    <row r="988" ht="15.75" customHeight="1">
      <c r="F988" s="23"/>
    </row>
    <row r="989" ht="15.75" customHeight="1">
      <c r="F989" s="23"/>
    </row>
    <row r="990" ht="15.75" customHeight="1">
      <c r="F990" s="23"/>
    </row>
    <row r="991" ht="15.75" customHeight="1">
      <c r="F991" s="23"/>
    </row>
    <row r="992" ht="15.75" customHeight="1">
      <c r="F992" s="23"/>
    </row>
    <row r="993" ht="15.75" customHeight="1">
      <c r="F993" s="23"/>
    </row>
    <row r="994" ht="15.75" customHeight="1">
      <c r="F994" s="23"/>
    </row>
    <row r="995" ht="15.75" customHeight="1">
      <c r="F995" s="23"/>
    </row>
    <row r="996" ht="15.75" customHeight="1">
      <c r="F996" s="23"/>
    </row>
    <row r="997" ht="15.75" customHeight="1">
      <c r="F997" s="23"/>
    </row>
    <row r="998" ht="15.75" customHeight="1">
      <c r="F998" s="23"/>
    </row>
    <row r="999" ht="15.75" customHeight="1">
      <c r="F999" s="23"/>
    </row>
    <row r="1000" ht="15.75" customHeight="1">
      <c r="F1000" s="23"/>
    </row>
  </sheetData>
  <mergeCells count="2">
    <mergeCell ref="F1:I1"/>
    <mergeCell ref="A1:E1"/>
  </mergeCells>
  <drawing r:id="rId1"/>
</worksheet>
</file>